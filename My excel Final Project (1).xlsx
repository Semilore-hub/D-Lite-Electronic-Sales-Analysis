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drawings/drawing2.xml" ContentType="application/vnd.openxmlformats-officedocument.drawingml.chartshapes+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pivotTables/pivotTable13.xml" ContentType="application/vnd.openxmlformats-officedocument.spreadsheetml.pivotTable+xml"/>
  <Override PartName="/xl/pivotTables/pivotTable14.xml" ContentType="application/vnd.openxmlformats-officedocument.spreadsheetml.pivotTable+xml"/>
  <Override PartName="/xl/pivotTables/pivotTable15.xml" ContentType="application/vnd.openxmlformats-officedocument.spreadsheetml.pivotTable+xml"/>
  <Override PartName="/xl/drawings/drawing3.xml" ContentType="application/vnd.openxmlformats-officedocument.drawing+xml"/>
  <Override PartName="/xl/slicers/slicer2.xml" ContentType="application/vnd.ms-excel.slicer+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charts/chart14.xml" ContentType="application/vnd.openxmlformats-officedocument.drawingml.chart+xml"/>
  <Override PartName="/xl/charts/style14.xml" ContentType="application/vnd.ms-office.chartstyle+xml"/>
  <Override PartName="/xl/charts/colors14.xml" ContentType="application/vnd.ms-office.chartcolorstyle+xml"/>
  <Override PartName="/xl/pivotTables/pivotTable16.xml" ContentType="application/vnd.openxmlformats-officedocument.spreadsheetml.pivotTable+xml"/>
  <Override PartName="/xl/pivotTables/pivotTable17.xml" ContentType="application/vnd.openxmlformats-officedocument.spreadsheetml.pivotTable+xml"/>
  <Override PartName="/xl/pivotTables/pivotTable18.xml" ContentType="application/vnd.openxmlformats-officedocument.spreadsheetml.pivotTable+xml"/>
  <Override PartName="/xl/pivotTables/pivotTable19.xml" ContentType="application/vnd.openxmlformats-officedocument.spreadsheetml.pivotTable+xml"/>
  <Override PartName="/xl/pivotTables/pivotTable20.xml" ContentType="application/vnd.openxmlformats-officedocument.spreadsheetml.pivotTable+xml"/>
  <Override PartName="/xl/pivotTables/pivotTable21.xml" ContentType="application/vnd.openxmlformats-officedocument.spreadsheetml.pivotTable+xml"/>
  <Override PartName="/xl/pivotTables/pivotTable22.xml" ContentType="application/vnd.openxmlformats-officedocument.spreadsheetml.pivotTable+xml"/>
  <Override PartName="/xl/pivotTables/pivotTable23.xml" ContentType="application/vnd.openxmlformats-officedocument.spreadsheetml.pivotTable+xml"/>
  <Override PartName="/xl/pivotTables/pivotTable24.xml" ContentType="application/vnd.openxmlformats-officedocument.spreadsheetml.pivotTable+xml"/>
  <Override PartName="/xl/pivotTables/pivotTable25.xml" ContentType="application/vnd.openxmlformats-officedocument.spreadsheetml.pivotTable+xml"/>
  <Override PartName="/xl/pivotTables/pivotTable26.xml" ContentType="application/vnd.openxmlformats-officedocument.spreadsheetml.pivotTable+xml"/>
  <Override PartName="/xl/pivotTables/pivotTable27.xml" ContentType="application/vnd.openxmlformats-officedocument.spreadsheetml.pivotTable+xml"/>
  <Override PartName="/xl/tables/table1.xml" ContentType="application/vnd.openxmlformats-officedocument.spreadsheetml.table+xml"/>
  <Override PartName="/xl/drawings/drawing4.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C:\Users\USER\OneDrive\Desktop\excel files\"/>
    </mc:Choice>
  </mc:AlternateContent>
  <workbookProtection workbookAlgorithmName="SHA-512" workbookHashValue="MyYZQgyH1EMzutqeArQjUjECK7Xo//0wU/T3vQ84qYIFxV2lNLgXYGIEkJpkqK6tYT3t+MSQvfB7ym8cVsgUWQ==" workbookSaltValue="78yUEa77jonpo+pzje/dbA==" workbookSpinCount="100000" lockStructure="1"/>
  <bookViews>
    <workbookView xWindow="-105" yWindow="-105" windowWidth="19425" windowHeight="10305" activeTab="4"/>
  </bookViews>
  <sheets>
    <sheet name="Dashboard" sheetId="7" r:id="rId1"/>
    <sheet name="Sheet1" sheetId="5" state="hidden" r:id="rId2"/>
    <sheet name="Pivot table" sheetId="6" r:id="rId3"/>
    <sheet name="Cleaned data" sheetId="4" r:id="rId4"/>
    <sheet name="Raw Data" sheetId="1" r:id="rId5"/>
    <sheet name="Cover" sheetId="3" r:id="rId6"/>
  </sheets>
  <definedNames>
    <definedName name="_xlnm._FilterDatabase" localSheetId="3" hidden="1">'Cleaned data'!$A$1:$I$101</definedName>
    <definedName name="_xlnm._FilterDatabase" localSheetId="4" hidden="1">'Raw Data'!$C$1:$C$101</definedName>
    <definedName name="Slicer_Category">#N/A</definedName>
    <definedName name="Slicer_Product">#N/A</definedName>
    <definedName name="Slicer_Region">#N/A</definedName>
    <definedName name="Slicer_Total_sales">#N/A</definedName>
  </definedNames>
  <calcPr calcId="152511"/>
  <pivotCaches>
    <pivotCache cacheId="0" r:id="rId7"/>
  </pivotCaches>
  <extLst>
    <ext xmlns:x14="http://schemas.microsoft.com/office/spreadsheetml/2009/9/main" uri="{BBE1A952-AA13-448e-AADC-164F8A28A991}">
      <x14:slicerCaches>
        <x14:slicerCache r:id="rId8"/>
        <x14:slicerCache r:id="rId9"/>
        <x14:slicerCache r:id="rId10"/>
        <x14:slicerCache r:id="rId11"/>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101" i="4" l="1"/>
  <c r="K7" i="7"/>
  <c r="F7" i="7"/>
  <c r="P7" i="7"/>
  <c r="G3" i="4" l="1"/>
  <c r="G4" i="4"/>
  <c r="G5" i="4"/>
  <c r="G6" i="4"/>
  <c r="G7" i="4"/>
  <c r="G8" i="4"/>
  <c r="G9" i="4"/>
  <c r="G10" i="4"/>
  <c r="G11" i="4"/>
  <c r="G12" i="4"/>
  <c r="G13" i="4"/>
  <c r="G14" i="4"/>
  <c r="G15" i="4"/>
  <c r="G16" i="4"/>
  <c r="G17" i="4"/>
  <c r="G18" i="4"/>
  <c r="G19" i="4"/>
  <c r="G20" i="4"/>
  <c r="G21" i="4"/>
  <c r="G22" i="4"/>
  <c r="G23" i="4"/>
  <c r="G24" i="4"/>
  <c r="G25" i="4"/>
  <c r="G26" i="4"/>
  <c r="G27" i="4"/>
  <c r="G28" i="4"/>
  <c r="G29" i="4"/>
  <c r="G30" i="4"/>
  <c r="G31" i="4"/>
  <c r="G32" i="4"/>
  <c r="G33" i="4"/>
  <c r="G34" i="4"/>
  <c r="G35" i="4"/>
  <c r="G36" i="4"/>
  <c r="G37" i="4"/>
  <c r="G38" i="4"/>
  <c r="G39" i="4"/>
  <c r="G40" i="4"/>
  <c r="G41" i="4"/>
  <c r="G42" i="4"/>
  <c r="G43" i="4"/>
  <c r="G44" i="4"/>
  <c r="G45" i="4"/>
  <c r="G46" i="4"/>
  <c r="G47" i="4"/>
  <c r="G48" i="4"/>
  <c r="G49" i="4"/>
  <c r="G50" i="4"/>
  <c r="G51" i="4"/>
  <c r="G52" i="4"/>
  <c r="G53" i="4"/>
  <c r="G54" i="4"/>
  <c r="G55" i="4"/>
  <c r="G56" i="4"/>
  <c r="G57" i="4"/>
  <c r="G58" i="4"/>
  <c r="G59" i="4"/>
  <c r="G60" i="4"/>
  <c r="G61" i="4"/>
  <c r="G62" i="4"/>
  <c r="G63" i="4"/>
  <c r="G64" i="4"/>
  <c r="G65" i="4"/>
  <c r="G66" i="4"/>
  <c r="G67" i="4"/>
  <c r="G68" i="4"/>
  <c r="G69" i="4"/>
  <c r="G70" i="4"/>
  <c r="G71" i="4"/>
  <c r="G72" i="4"/>
  <c r="G73" i="4"/>
  <c r="G74" i="4"/>
  <c r="G75" i="4"/>
  <c r="G76" i="4"/>
  <c r="G77" i="4"/>
  <c r="G78" i="4"/>
  <c r="G79" i="4"/>
  <c r="G80" i="4"/>
  <c r="G81" i="4"/>
  <c r="G82" i="4"/>
  <c r="G83" i="4"/>
  <c r="G84" i="4"/>
  <c r="G85" i="4"/>
  <c r="G86" i="4"/>
  <c r="G87" i="4"/>
  <c r="G88" i="4"/>
  <c r="G89" i="4"/>
  <c r="G90" i="4"/>
  <c r="G91" i="4"/>
  <c r="G92" i="4"/>
  <c r="G93" i="4"/>
  <c r="G94" i="4"/>
  <c r="G95" i="4"/>
  <c r="G96" i="4"/>
  <c r="G97" i="4"/>
  <c r="G98" i="4"/>
  <c r="G99" i="4"/>
  <c r="G100" i="4"/>
  <c r="G2" i="4"/>
  <c r="F102" i="1"/>
  <c r="E102" i="1"/>
</calcChain>
</file>

<file path=xl/sharedStrings.xml><?xml version="1.0" encoding="utf-8"?>
<sst xmlns="http://schemas.openxmlformats.org/spreadsheetml/2006/main" count="1426" uniqueCount="512">
  <si>
    <t>Date</t>
  </si>
  <si>
    <t>Region</t>
  </si>
  <si>
    <t>Product</t>
  </si>
  <si>
    <t>Category</t>
  </si>
  <si>
    <t>Units Sold</t>
  </si>
  <si>
    <t>Unit Price</t>
  </si>
  <si>
    <t>Sales Rep</t>
  </si>
  <si>
    <t>Customer</t>
  </si>
  <si>
    <t>South</t>
  </si>
  <si>
    <t>LAPTOP  A15</t>
  </si>
  <si>
    <t xml:space="preserve">computers  </t>
  </si>
  <si>
    <t xml:space="preserve">  Peter Obi   </t>
  </si>
  <si>
    <t>bright solutions</t>
  </si>
  <si>
    <t xml:space="preserve"> EAST</t>
  </si>
  <si>
    <t>tv  43q</t>
  </si>
  <si>
    <t>ELECTRONICS</t>
  </si>
  <si>
    <t xml:space="preserve">Ifeanyi Okafor  </t>
  </si>
  <si>
    <t>Musa Enterprises</t>
  </si>
  <si>
    <t xml:space="preserve">North	</t>
  </si>
  <si>
    <t>PHONE X12</t>
  </si>
  <si>
    <t>Mobile</t>
  </si>
  <si>
    <t>fola balogun</t>
  </si>
  <si>
    <t xml:space="preserve"> ZAINAB GLOBAL  </t>
  </si>
  <si>
    <t>17-MAY-2025</t>
  </si>
  <si>
    <t xml:space="preserve">South </t>
  </si>
  <si>
    <t xml:space="preserve"> MONITOR M2 4</t>
  </si>
  <si>
    <t xml:space="preserve">  PERIPHERALS </t>
  </si>
  <si>
    <t>IFEANYI OKAFOR</t>
  </si>
  <si>
    <t xml:space="preserve"> Jid eSuperstores </t>
  </si>
  <si>
    <t xml:space="preserve">28-jan-2025   </t>
  </si>
  <si>
    <t>WEST</t>
  </si>
  <si>
    <t xml:space="preserve">  Phone X12 </t>
  </si>
  <si>
    <t xml:space="preserve"> Mobile</t>
  </si>
  <si>
    <t>petero bi</t>
  </si>
  <si>
    <t>chkia  mart</t>
  </si>
  <si>
    <t xml:space="preserve">  26-May-2025 </t>
  </si>
  <si>
    <t>east,</t>
  </si>
  <si>
    <t>mobile</t>
  </si>
  <si>
    <t>IFEANYI  OKAFOR</t>
  </si>
  <si>
    <t>Musa  Enterprises</t>
  </si>
  <si>
    <t xml:space="preserve"> 06-MAY-2025 </t>
  </si>
  <si>
    <t xml:space="preserve"> WEST </t>
  </si>
  <si>
    <t xml:space="preserve">  tv 43q </t>
  </si>
  <si>
    <t xml:space="preserve"> Electronics</t>
  </si>
  <si>
    <t>AISHA  BELLO</t>
  </si>
  <si>
    <t>Chika  Mart</t>
  </si>
  <si>
    <t>10-Feb-2025</t>
  </si>
  <si>
    <t xml:space="preserve">west  </t>
  </si>
  <si>
    <t xml:space="preserve"> monitor m24  </t>
  </si>
  <si>
    <t>peripherals</t>
  </si>
  <si>
    <t>peter obi</t>
  </si>
  <si>
    <t xml:space="preserve">MUSA ENTERPIRSES </t>
  </si>
  <si>
    <t xml:space="preserve"> 01-FEB-2025 </t>
  </si>
  <si>
    <t xml:space="preserve"> East </t>
  </si>
  <si>
    <t xml:space="preserve"> CAMERA C100</t>
  </si>
  <si>
    <t xml:space="preserve">PHOTOGRAPHY </t>
  </si>
  <si>
    <t xml:space="preserve"> fola balogun </t>
  </si>
  <si>
    <t xml:space="preserve">BRIGTH  SOLUTIONS </t>
  </si>
  <si>
    <t>28-Jun-2025</t>
  </si>
  <si>
    <t>West</t>
  </si>
  <si>
    <t>Tablet  T8</t>
  </si>
  <si>
    <t xml:space="preserve">  mobile ,</t>
  </si>
  <si>
    <t xml:space="preserve">  Peter Obi </t>
  </si>
  <si>
    <t>Alpha Retailers</t>
  </si>
  <si>
    <t xml:space="preserve"> 18-Apr-2025 </t>
  </si>
  <si>
    <t>south</t>
  </si>
  <si>
    <t xml:space="preserve"> TABLET T8 	</t>
  </si>
  <si>
    <t xml:space="preserve">  Mobile</t>
  </si>
  <si>
    <t>fola  balogun</t>
  </si>
  <si>
    <t>MUSA ENTERPRISES</t>
  </si>
  <si>
    <t xml:space="preserve"> 25-Feb-2025</t>
  </si>
  <si>
    <t>North</t>
  </si>
  <si>
    <t>Speake r S10</t>
  </si>
  <si>
    <t xml:space="preserve"> Audio </t>
  </si>
  <si>
    <t>Aisha Bello</t>
  </si>
  <si>
    <t>Omega Wholesale</t>
  </si>
  <si>
    <t xml:space="preserve">  29-Apr-2025</t>
  </si>
  <si>
    <t xml:space="preserve">TABLET  T8 </t>
  </si>
  <si>
    <t xml:space="preserve">Mobile </t>
  </si>
  <si>
    <t xml:space="preserve">  AISHA BELLO</t>
  </si>
  <si>
    <t>kelvin tech</t>
  </si>
  <si>
    <t xml:space="preserve">02-Feb-2025  </t>
  </si>
  <si>
    <t xml:space="preserve"> eats</t>
  </si>
  <si>
    <t xml:space="preserve"> tv 43q</t>
  </si>
  <si>
    <t>Chinedu  Nwosu</t>
  </si>
  <si>
    <t>EMEKA  TRADERS</t>
  </si>
  <si>
    <t xml:space="preserve">15-Apr-2025  </t>
  </si>
  <si>
    <t xml:space="preserve">SOUTH </t>
  </si>
  <si>
    <t xml:space="preserve"> Speaker S10 </t>
  </si>
  <si>
    <t xml:space="preserve"> Audio .</t>
  </si>
  <si>
    <t xml:space="preserve">ifeanyi okafor  </t>
  </si>
  <si>
    <t>BRIGHT SOLUTIONS</t>
  </si>
  <si>
    <t>12-Jun-2025</t>
  </si>
  <si>
    <t xml:space="preserve">East  </t>
  </si>
  <si>
    <t>monitor m24</t>
  </si>
  <si>
    <t xml:space="preserve"> Peripherals </t>
  </si>
  <si>
    <t xml:space="preserve">chinedu nwosu   </t>
  </si>
  <si>
    <t>tola  ventures</t>
  </si>
  <si>
    <t xml:space="preserve">  31-JAN-2025 </t>
  </si>
  <si>
    <t>East</t>
  </si>
  <si>
    <t xml:space="preserve">Camera  C100 </t>
  </si>
  <si>
    <t xml:space="preserve">Photography </t>
  </si>
  <si>
    <t xml:space="preserve"> Fola Balogun </t>
  </si>
  <si>
    <t>02-FEB-2025</t>
  </si>
  <si>
    <t xml:space="preserve">  West</t>
  </si>
  <si>
    <t>Tablet T8</t>
  </si>
  <si>
    <t xml:space="preserve">  mary john </t>
  </si>
  <si>
    <t xml:space="preserve">  Jide Superstores </t>
  </si>
  <si>
    <t xml:space="preserve">25-May-2025 </t>
  </si>
  <si>
    <t xml:space="preserve"> Camera C100</t>
  </si>
  <si>
    <t>Photography</t>
  </si>
  <si>
    <t>Grace  Amos</t>
  </si>
  <si>
    <t xml:space="preserve">Femi Tech </t>
  </si>
  <si>
    <t xml:space="preserve">26-FEB-2025    </t>
  </si>
  <si>
    <t xml:space="preserve"> North</t>
  </si>
  <si>
    <t>Camera  C100</t>
  </si>
  <si>
    <t>Chinedu Nwosu</t>
  </si>
  <si>
    <t>06-Apr-2025 .</t>
  </si>
  <si>
    <t xml:space="preserve"> EAST </t>
  </si>
  <si>
    <t>Laptop A15</t>
  </si>
  <si>
    <t>Computers</t>
  </si>
  <si>
    <t xml:space="preserve">GRACE AMOS </t>
  </si>
  <si>
    <t>24-FEB-2025</t>
  </si>
  <si>
    <t xml:space="preserve"> camera c100   </t>
  </si>
  <si>
    <t xml:space="preserve">  Photography </t>
  </si>
  <si>
    <t>PETER  OBI</t>
  </si>
  <si>
    <t xml:space="preserve">Emeka Traders </t>
  </si>
  <si>
    <t xml:space="preserve">  24-mar-2025</t>
  </si>
  <si>
    <t>EAST</t>
  </si>
  <si>
    <t xml:space="preserve">Tablet T8 </t>
  </si>
  <si>
    <t xml:space="preserve">  mobile.</t>
  </si>
  <si>
    <t>Maryam Ltd</t>
  </si>
  <si>
    <t xml:space="preserve">  28-May-2025 </t>
  </si>
  <si>
    <t>north</t>
  </si>
  <si>
    <t xml:space="preserve"> Tablet T8 </t>
  </si>
  <si>
    <t xml:space="preserve">mobile   </t>
  </si>
  <si>
    <t xml:space="preserve"> ifeanyi okafor </t>
  </si>
  <si>
    <t>omega  wholesale</t>
  </si>
  <si>
    <t xml:space="preserve">  12-MAY-2025</t>
  </si>
  <si>
    <t xml:space="preserve">  West </t>
  </si>
  <si>
    <t>Laptop A15.</t>
  </si>
  <si>
    <t xml:space="preserve"> Computers </t>
  </si>
  <si>
    <t xml:space="preserve"> Grace Amos </t>
  </si>
  <si>
    <t xml:space="preserve">femi tech </t>
  </si>
  <si>
    <t xml:space="preserve">  11-MAY-2025 </t>
  </si>
  <si>
    <t xml:space="preserve"> East</t>
  </si>
  <si>
    <t xml:space="preserve">Camera C010 </t>
  </si>
  <si>
    <t>photography</t>
  </si>
  <si>
    <t xml:space="preserve">chinedu nwosu </t>
  </si>
  <si>
    <t xml:space="preserve"> 16-JAN-2025 </t>
  </si>
  <si>
    <t>North.</t>
  </si>
  <si>
    <t xml:space="preserve"> SPEAKER S10</t>
  </si>
  <si>
    <t xml:space="preserve"> Audio.</t>
  </si>
  <si>
    <t>grace amos</t>
  </si>
  <si>
    <t xml:space="preserve">  Femi Tech </t>
  </si>
  <si>
    <t>10-May-2025</t>
  </si>
  <si>
    <t xml:space="preserve"> Monitor M24 </t>
  </si>
  <si>
    <t>PERIPHERALS</t>
  </si>
  <si>
    <t xml:space="preserve"> Kelvin Tech 	</t>
  </si>
  <si>
    <t>01-feb-2025</t>
  </si>
  <si>
    <t xml:space="preserve">  South </t>
  </si>
  <si>
    <t xml:space="preserve">TV  43Q </t>
  </si>
  <si>
    <t>elecrtonics</t>
  </si>
  <si>
    <t xml:space="preserve"> zainab global	</t>
  </si>
  <si>
    <t xml:space="preserve">06-feb-2025 </t>
  </si>
  <si>
    <t>Electronics</t>
  </si>
  <si>
    <t xml:space="preserve">peter  obi </t>
  </si>
  <si>
    <t xml:space="preserve"> Femi Tech </t>
  </si>
  <si>
    <t>17-JUN-2025</t>
  </si>
  <si>
    <t>west</t>
  </si>
  <si>
    <t xml:space="preserve">Electronics   </t>
  </si>
  <si>
    <t>Tope &amp; Sons .</t>
  </si>
  <si>
    <t xml:space="preserve">  09-Jan-2025 </t>
  </si>
  <si>
    <t>TABLET T8</t>
  </si>
  <si>
    <t>mobile.</t>
  </si>
  <si>
    <t>alpha retailers</t>
  </si>
  <si>
    <t xml:space="preserve">29-Jun-2025 </t>
  </si>
  <si>
    <t xml:space="preserve">North  </t>
  </si>
  <si>
    <t xml:space="preserve"> PHOTOGRAPHY</t>
  </si>
  <si>
    <t>Peter Obi</t>
  </si>
  <si>
    <t>Alpha  Retailers</t>
  </si>
  <si>
    <t xml:space="preserve">1-9mar-2025 </t>
  </si>
  <si>
    <t xml:space="preserve">mobile </t>
  </si>
  <si>
    <t xml:space="preserve"> Peter Obi </t>
  </si>
  <si>
    <t>Femi  Tech</t>
  </si>
  <si>
    <t>06-Feb-2025</t>
  </si>
  <si>
    <t xml:space="preserve"> laptop a15 	</t>
  </si>
  <si>
    <t>Peter Obi.</t>
  </si>
  <si>
    <t xml:space="preserve">Omega Wholesale </t>
  </si>
  <si>
    <t xml:space="preserve">06-Apr-2025  </t>
  </si>
  <si>
    <t>Monitor  M24</t>
  </si>
  <si>
    <t xml:space="preserve">Peripherals  </t>
  </si>
  <si>
    <t>maryam  ltd</t>
  </si>
  <si>
    <t xml:space="preserve"> 07-Feb-2025</t>
  </si>
  <si>
    <t xml:space="preserve">Monitor  M24 </t>
  </si>
  <si>
    <t xml:space="preserve">Peripherals </t>
  </si>
  <si>
    <t xml:space="preserve"> Mary John </t>
  </si>
  <si>
    <t xml:space="preserve">TOPE  &amp; SONS </t>
  </si>
  <si>
    <t xml:space="preserve">  07-mar-2025</t>
  </si>
  <si>
    <t xml:space="preserve"> east </t>
  </si>
  <si>
    <t>CAMERA C100</t>
  </si>
  <si>
    <t>PHOTOGRAPHY</t>
  </si>
  <si>
    <t xml:space="preserve"> GRACE AMOS</t>
  </si>
  <si>
    <t xml:space="preserve">  07-May-2025</t>
  </si>
  <si>
    <t xml:space="preserve">  North</t>
  </si>
  <si>
    <t xml:space="preserve"> PHONE X12 </t>
  </si>
  <si>
    <t>Mobile.</t>
  </si>
  <si>
    <t xml:space="preserve">  MARY JOHN </t>
  </si>
  <si>
    <t>Chkia  Mart</t>
  </si>
  <si>
    <t xml:space="preserve"> 30-Jun-2025 </t>
  </si>
  <si>
    <t>unknown</t>
  </si>
  <si>
    <t xml:space="preserve"> Musa Enterprises </t>
  </si>
  <si>
    <t xml:space="preserve">NORTH  </t>
  </si>
  <si>
    <t xml:space="preserve"> mary john 	</t>
  </si>
  <si>
    <t>TOPE &amp; SONS</t>
  </si>
  <si>
    <t>13-Jan-2025</t>
  </si>
  <si>
    <t>SOUTH</t>
  </si>
  <si>
    <t xml:space="preserve">  PHONE X12 </t>
  </si>
  <si>
    <t xml:space="preserve">15-JUN-2025  </t>
  </si>
  <si>
    <t xml:space="preserve">south </t>
  </si>
  <si>
    <t>LAPTOP A15</t>
  </si>
  <si>
    <t xml:space="preserve"> Mary John</t>
  </si>
  <si>
    <t xml:space="preserve">Chika  Mart </t>
  </si>
  <si>
    <t>28-Feb-2025</t>
  </si>
  <si>
    <t xml:space="preserve">  east</t>
  </si>
  <si>
    <t xml:space="preserve">SPEAKER  S10 </t>
  </si>
  <si>
    <t>Audio</t>
  </si>
  <si>
    <t xml:space="preserve">ifeanyi okafor </t>
  </si>
  <si>
    <t>19-FEB-2025</t>
  </si>
  <si>
    <t xml:space="preserve">west	</t>
  </si>
  <si>
    <t xml:space="preserve">Mary John </t>
  </si>
  <si>
    <t xml:space="preserve">KELVIN TECH </t>
  </si>
  <si>
    <t>03-mar-2025</t>
  </si>
  <si>
    <t xml:space="preserve">  East</t>
  </si>
  <si>
    <t xml:space="preserve">Tablet  T8 </t>
  </si>
  <si>
    <t xml:space="preserve"> mobile,</t>
  </si>
  <si>
    <t>Fola  Balogun</t>
  </si>
  <si>
    <t xml:space="preserve">  ALPHA RETAILERS 	</t>
  </si>
  <si>
    <t>01-APR-2025</t>
  </si>
  <si>
    <t xml:space="preserve"> west </t>
  </si>
  <si>
    <t>MARY JOHN</t>
  </si>
  <si>
    <t xml:space="preserve">  Chika Mart </t>
  </si>
  <si>
    <t xml:space="preserve">07-APR-2025 </t>
  </si>
  <si>
    <t xml:space="preserve">South  </t>
  </si>
  <si>
    <t>TV  43Q</t>
  </si>
  <si>
    <t>grace amos,</t>
  </si>
  <si>
    <t xml:space="preserve">Jide Superstores </t>
  </si>
  <si>
    <t>26-Feb-2025</t>
  </si>
  <si>
    <t xml:space="preserve"> mobile   </t>
  </si>
  <si>
    <t xml:space="preserve"> KELVIN TECH</t>
  </si>
  <si>
    <t>01-jun-2025</t>
  </si>
  <si>
    <t>Speaker  S10</t>
  </si>
  <si>
    <t>audio</t>
  </si>
  <si>
    <t xml:space="preserve">  Aisha Bello </t>
  </si>
  <si>
    <t xml:space="preserve"> BRIGHT SOLUTIONS</t>
  </si>
  <si>
    <t xml:space="preserve">14-jan-2025  </t>
  </si>
  <si>
    <t xml:space="preserve"> West </t>
  </si>
  <si>
    <t>monitor  m24</t>
  </si>
  <si>
    <t xml:space="preserve"> PERIPHERALS</t>
  </si>
  <si>
    <t xml:space="preserve"> fola balogun</t>
  </si>
  <si>
    <t>Femi Tech</t>
  </si>
  <si>
    <t xml:space="preserve">22-feb-2025 	</t>
  </si>
  <si>
    <t xml:space="preserve"> peripherals </t>
  </si>
  <si>
    <t xml:space="preserve">grace amos </t>
  </si>
  <si>
    <t>jide superstores</t>
  </si>
  <si>
    <t xml:space="preserve">24-amr-2025	</t>
  </si>
  <si>
    <t xml:space="preserve">  WEST</t>
  </si>
  <si>
    <t xml:space="preserve">  aisha bello ,</t>
  </si>
  <si>
    <t xml:space="preserve">  Kelvin Tech </t>
  </si>
  <si>
    <t xml:space="preserve">27-Jan-2025 </t>
  </si>
  <si>
    <t xml:space="preserve"> FEMI TECH</t>
  </si>
  <si>
    <t>04-jna-2025</t>
  </si>
  <si>
    <t xml:space="preserve"> West</t>
  </si>
  <si>
    <t xml:space="preserve">tv  43q </t>
  </si>
  <si>
    <t>IFEANYI OKAFOR .</t>
  </si>
  <si>
    <t>JIDE SUPERSTORES ,</t>
  </si>
  <si>
    <t xml:space="preserve">  08-mar-2025</t>
  </si>
  <si>
    <t xml:space="preserve">north  </t>
  </si>
  <si>
    <t xml:space="preserve">phone x12 </t>
  </si>
  <si>
    <t>aisha  bello</t>
  </si>
  <si>
    <t xml:space="preserve"> adewales tores </t>
  </si>
  <si>
    <t xml:space="preserve"> 23-JAN-2025</t>
  </si>
  <si>
    <t xml:space="preserve">Tablet T8	</t>
  </si>
  <si>
    <t>MOBILE</t>
  </si>
  <si>
    <t>Chinedu  Nwosu,</t>
  </si>
  <si>
    <t xml:space="preserve">maryam ltd </t>
  </si>
  <si>
    <t>16-Jan-2025</t>
  </si>
  <si>
    <t xml:space="preserve"> EAST	</t>
  </si>
  <si>
    <t xml:space="preserve">audio </t>
  </si>
  <si>
    <t>Kelvin  Tech</t>
  </si>
  <si>
    <t>05F-eb-2025</t>
  </si>
  <si>
    <t>Sout	h</t>
  </si>
  <si>
    <t>laptop  a15</t>
  </si>
  <si>
    <t xml:space="preserve">COMPUTERS   </t>
  </si>
  <si>
    <t xml:space="preserve"> aisha bello</t>
  </si>
  <si>
    <t>zainab global</t>
  </si>
  <si>
    <t>east</t>
  </si>
  <si>
    <t xml:space="preserve"> 06-jan-2025  </t>
  </si>
  <si>
    <t xml:space="preserve">  south</t>
  </si>
  <si>
    <t xml:space="preserve">  TABLET T8 </t>
  </si>
  <si>
    <t xml:space="preserve"> Mobile </t>
  </si>
  <si>
    <t xml:space="preserve">  aisha bello</t>
  </si>
  <si>
    <t>Emeka  Traders</t>
  </si>
  <si>
    <t xml:space="preserve">  south 	</t>
  </si>
  <si>
    <t>TV 43Q</t>
  </si>
  <si>
    <t>EELCTRONICS</t>
  </si>
  <si>
    <t xml:space="preserve">  CHINEDU NWOSU</t>
  </si>
  <si>
    <t>Tola  Ventures</t>
  </si>
  <si>
    <t xml:space="preserve"> 14-Jan-2025 </t>
  </si>
  <si>
    <t xml:space="preserve"> EAST,</t>
  </si>
  <si>
    <t xml:space="preserve">  Laptop A15</t>
  </si>
  <si>
    <t xml:space="preserve">Computers  </t>
  </si>
  <si>
    <t xml:space="preserve">  chinedu nwosu </t>
  </si>
  <si>
    <t>CHIKA MART</t>
  </si>
  <si>
    <t xml:space="preserve">02-MAY-2025	</t>
  </si>
  <si>
    <t>WES	T</t>
  </si>
  <si>
    <t>Aisha Bello ,</t>
  </si>
  <si>
    <t xml:space="preserve">17-Jun-2205  </t>
  </si>
  <si>
    <t xml:space="preserve">SPEAKER S10	</t>
  </si>
  <si>
    <t>Fola Balogun</t>
  </si>
  <si>
    <t xml:space="preserve">  emeka traders</t>
  </si>
  <si>
    <t xml:space="preserve"> 13-Jan-2025 </t>
  </si>
  <si>
    <t>West.</t>
  </si>
  <si>
    <t xml:space="preserve">  Chinedu Nwosu</t>
  </si>
  <si>
    <t xml:space="preserve"> Tola Ventuers </t>
  </si>
  <si>
    <t xml:space="preserve">02-Jun-2025 </t>
  </si>
  <si>
    <t xml:space="preserve"> MOBILE</t>
  </si>
  <si>
    <t xml:space="preserve">Ifeanyi Okafor </t>
  </si>
  <si>
    <t>16-Feb-2025</t>
  </si>
  <si>
    <t>CAMERA C100,</t>
  </si>
  <si>
    <t>Photography,</t>
  </si>
  <si>
    <t xml:space="preserve">peter obi </t>
  </si>
  <si>
    <t>14-APR-2025.</t>
  </si>
  <si>
    <t xml:space="preserve"> Speaker S10</t>
  </si>
  <si>
    <t xml:space="preserve">AUDIO </t>
  </si>
  <si>
    <t xml:space="preserve">  chinedu nwosu</t>
  </si>
  <si>
    <t xml:space="preserve">Kelvin Tech </t>
  </si>
  <si>
    <t xml:space="preserve"> 06-Jan-2025</t>
  </si>
  <si>
    <t xml:space="preserve">Laptop A15 </t>
  </si>
  <si>
    <t xml:space="preserve"> COMPUTERS </t>
  </si>
  <si>
    <t xml:space="preserve">  Grace Amos .</t>
  </si>
  <si>
    <t>Chika Mart</t>
  </si>
  <si>
    <t xml:space="preserve">11-JAN-2025 </t>
  </si>
  <si>
    <t xml:space="preserve">Chinedu Nwosu </t>
  </si>
  <si>
    <t xml:space="preserve"> TOLA VENTURES</t>
  </si>
  <si>
    <t xml:space="preserve"> south,</t>
  </si>
  <si>
    <t xml:space="preserve"> Tv 43Q </t>
  </si>
  <si>
    <t xml:space="preserve"> ELECTRONICS	</t>
  </si>
  <si>
    <t xml:space="preserve">Chinedu  Nwosu </t>
  </si>
  <si>
    <t xml:space="preserve">Omega  Wholesale </t>
  </si>
  <si>
    <t xml:space="preserve"> 14-jan-2025 </t>
  </si>
  <si>
    <t xml:space="preserve"> monitor m24</t>
  </si>
  <si>
    <t xml:space="preserve">PERIPHERALS </t>
  </si>
  <si>
    <t>29-May-2025</t>
  </si>
  <si>
    <t>PHONE  X12</t>
  </si>
  <si>
    <t>zianab  global ,</t>
  </si>
  <si>
    <t xml:space="preserve">15-MAR-2025 </t>
  </si>
  <si>
    <t>Camer aC100</t>
  </si>
  <si>
    <t>AISHA BELLO</t>
  </si>
  <si>
    <t xml:space="preserve"> Jide Superstores   </t>
  </si>
  <si>
    <t>26-Mar-2025</t>
  </si>
  <si>
    <t xml:space="preserve">EAST  </t>
  </si>
  <si>
    <t xml:space="preserve">audio  </t>
  </si>
  <si>
    <t>GRACE AMOS</t>
  </si>
  <si>
    <t xml:space="preserve">Adewale  Stores  </t>
  </si>
  <si>
    <t>12-jan-2025</t>
  </si>
  <si>
    <t xml:space="preserve"> NORTH</t>
  </si>
  <si>
    <t>tv 43q</t>
  </si>
  <si>
    <t xml:space="preserve">  Electronics </t>
  </si>
  <si>
    <t xml:space="preserve">  emeka tarders</t>
  </si>
  <si>
    <t xml:space="preserve"> 23-Jan-2025 </t>
  </si>
  <si>
    <t>Norht</t>
  </si>
  <si>
    <t xml:space="preserve">  tv 43q</t>
  </si>
  <si>
    <t xml:space="preserve">  fola balogun</t>
  </si>
  <si>
    <t>Emeka Tradesr</t>
  </si>
  <si>
    <t xml:space="preserve">  05-May-2025 </t>
  </si>
  <si>
    <t xml:space="preserve">Tv 43Q  </t>
  </si>
  <si>
    <t xml:space="preserve"> ELECTRONICS </t>
  </si>
  <si>
    <t>ifeanyi  okafor</t>
  </si>
  <si>
    <t>19-May-2025</t>
  </si>
  <si>
    <t xml:space="preserve"> SOUTH </t>
  </si>
  <si>
    <t>SPEAKER S10</t>
  </si>
  <si>
    <t xml:space="preserve">  Audio </t>
  </si>
  <si>
    <t xml:space="preserve">aisha bello   </t>
  </si>
  <si>
    <t xml:space="preserve"> 04A-pr-2025</t>
  </si>
  <si>
    <t xml:space="preserve">  EAST</t>
  </si>
  <si>
    <t>TABLET  T8</t>
  </si>
  <si>
    <t>Mobile .</t>
  </si>
  <si>
    <t xml:space="preserve"> FOLA BALOGUN  </t>
  </si>
  <si>
    <t xml:space="preserve"> Musa Enterprises</t>
  </si>
  <si>
    <t xml:space="preserve"> 26-feb-2025</t>
  </si>
  <si>
    <t xml:space="preserve"> South</t>
  </si>
  <si>
    <t>monitor m24,</t>
  </si>
  <si>
    <t xml:space="preserve"> Peripherals</t>
  </si>
  <si>
    <t xml:space="preserve">Grace Amos </t>
  </si>
  <si>
    <t>femi tech</t>
  </si>
  <si>
    <t xml:space="preserve"> 03-jun-2025</t>
  </si>
  <si>
    <t xml:space="preserve"> adewale stores </t>
  </si>
  <si>
    <t xml:space="preserve">05-apr-2025 </t>
  </si>
  <si>
    <t xml:space="preserve"> COMPUTERS</t>
  </si>
  <si>
    <t xml:space="preserve"> Chinedu Nwosu </t>
  </si>
  <si>
    <t>30-JAN-2025</t>
  </si>
  <si>
    <t>MONITOR  M24</t>
  </si>
  <si>
    <t xml:space="preserve">Perpiherals  </t>
  </si>
  <si>
    <t xml:space="preserve"> 31-Jan-2025 </t>
  </si>
  <si>
    <t xml:space="preserve"> North </t>
  </si>
  <si>
    <t xml:space="preserve">laptop a15 </t>
  </si>
  <si>
    <t xml:space="preserve"> Comupters</t>
  </si>
  <si>
    <t xml:space="preserve"> AISHA BELLO </t>
  </si>
  <si>
    <t xml:space="preserve">OMEGA WHOLESALE </t>
  </si>
  <si>
    <t xml:space="preserve">27-MAY-0225 </t>
  </si>
  <si>
    <t xml:space="preserve">Aisha Bello </t>
  </si>
  <si>
    <t>08-pAr-2025</t>
  </si>
  <si>
    <t xml:space="preserve">Alpha Retailers </t>
  </si>
  <si>
    <t xml:space="preserve"> 13-FEB-2025 </t>
  </si>
  <si>
    <t xml:space="preserve"> Laptop A15</t>
  </si>
  <si>
    <t>Omega  Wholesale</t>
  </si>
  <si>
    <t>09-aMr-2025</t>
  </si>
  <si>
    <t xml:space="preserve">Laptop  A15 	</t>
  </si>
  <si>
    <t xml:space="preserve">  Computers </t>
  </si>
  <si>
    <t xml:space="preserve">IFEANYI O KAFOR 	</t>
  </si>
  <si>
    <t>femi  tech ,</t>
  </si>
  <si>
    <t>20-FEB-2052</t>
  </si>
  <si>
    <t xml:space="preserve">  west</t>
  </si>
  <si>
    <t xml:space="preserve">Speaker  S10 </t>
  </si>
  <si>
    <t>AUDIO</t>
  </si>
  <si>
    <t xml:space="preserve"> fola balogun,</t>
  </si>
  <si>
    <t>FEMI  TECH</t>
  </si>
  <si>
    <t>19-Feb-2025</t>
  </si>
  <si>
    <t>EAST ,</t>
  </si>
  <si>
    <t xml:space="preserve">Laptop A15  </t>
  </si>
  <si>
    <t xml:space="preserve"> COMPUTRES</t>
  </si>
  <si>
    <t>Mary  John</t>
  </si>
  <si>
    <t xml:space="preserve">TOEP &amp; SONS </t>
  </si>
  <si>
    <t xml:space="preserve">10-Apr-2025 </t>
  </si>
  <si>
    <t xml:space="preserve">East </t>
  </si>
  <si>
    <t>Camera C100,</t>
  </si>
  <si>
    <t>Mary John</t>
  </si>
  <si>
    <t xml:space="preserve"> Kelvin Tech</t>
  </si>
  <si>
    <t xml:space="preserve"> 21-May-2025</t>
  </si>
  <si>
    <t xml:space="preserve">GRACE AMOS   </t>
  </si>
  <si>
    <t xml:space="preserve"> MUSA ENTERPRISES </t>
  </si>
  <si>
    <t>26-jun-2025</t>
  </si>
  <si>
    <t xml:space="preserve">Camera C100   </t>
  </si>
  <si>
    <t xml:space="preserve">  Photography</t>
  </si>
  <si>
    <t xml:space="preserve"> MARY JOHN .</t>
  </si>
  <si>
    <t xml:space="preserve">Bright Solutions  </t>
  </si>
  <si>
    <t xml:space="preserve"> 20-feb-2025</t>
  </si>
  <si>
    <t xml:space="preserve">  South</t>
  </si>
  <si>
    <t>audio .</t>
  </si>
  <si>
    <t xml:space="preserve">  Peter Obi</t>
  </si>
  <si>
    <t xml:space="preserve"> TOLA VENTURES </t>
  </si>
  <si>
    <t xml:space="preserve">  27-Ju-n2025</t>
  </si>
  <si>
    <t xml:space="preserve">north	</t>
  </si>
  <si>
    <t xml:space="preserve">camera  c100 </t>
  </si>
  <si>
    <t xml:space="preserve">Photography  </t>
  </si>
  <si>
    <t xml:space="preserve"> IFEANYI OKAFOR </t>
  </si>
  <si>
    <t xml:space="preserve">  emeka traders </t>
  </si>
  <si>
    <t xml:space="preserve"> 05-Feb-2025 </t>
  </si>
  <si>
    <t xml:space="preserve">  07-Jun-2025</t>
  </si>
  <si>
    <t xml:space="preserve"> peter obi </t>
  </si>
  <si>
    <t>femi  tech</t>
  </si>
  <si>
    <t xml:space="preserve">  13-May-2025 </t>
  </si>
  <si>
    <t xml:space="preserve"> WEST</t>
  </si>
  <si>
    <t xml:space="preserve">TABLET T8 </t>
  </si>
  <si>
    <t xml:space="preserve"> Mobile  </t>
  </si>
  <si>
    <t xml:space="preserve">grace amos	</t>
  </si>
  <si>
    <t>ALPHA RETAILERS</t>
  </si>
  <si>
    <t>Capstone project</t>
  </si>
  <si>
    <t>Praise Odunayo</t>
  </si>
  <si>
    <t>Aba Joel</t>
  </si>
  <si>
    <t>Job Austin</t>
  </si>
  <si>
    <t>….</t>
  </si>
  <si>
    <t>Phone X12</t>
  </si>
  <si>
    <t>Speaker S10</t>
  </si>
  <si>
    <t>Camera C100</t>
  </si>
  <si>
    <t>Monitor M24</t>
  </si>
  <si>
    <t>Tv 43Q</t>
  </si>
  <si>
    <t>Peripherals</t>
  </si>
  <si>
    <t>Grace Amos</t>
  </si>
  <si>
    <t>Ifeanyi Okafor</t>
  </si>
  <si>
    <t>Ifeanyi OKafor</t>
  </si>
  <si>
    <t>Total sales</t>
  </si>
  <si>
    <t>Emeka Traders</t>
  </si>
  <si>
    <t>Bright Solutions</t>
  </si>
  <si>
    <t>Kelvin Tech</t>
  </si>
  <si>
    <t>Zainab Global</t>
  </si>
  <si>
    <t>Jide Superstores</t>
  </si>
  <si>
    <t>Tola Ventures</t>
  </si>
  <si>
    <t>Tope &amp; Sons</t>
  </si>
  <si>
    <t>Adewale Stores</t>
  </si>
  <si>
    <t>Row Labels</t>
  </si>
  <si>
    <t>Grand Total</t>
  </si>
  <si>
    <t>Sum of Total sales</t>
  </si>
  <si>
    <t>Categories</t>
  </si>
  <si>
    <t>Regon</t>
  </si>
  <si>
    <t>Column Labels</t>
  </si>
  <si>
    <t>Average of Unit Price</t>
  </si>
  <si>
    <t>Sum of Units Sold</t>
  </si>
  <si>
    <t>C.ategory</t>
  </si>
  <si>
    <t>Sum of Unit Price</t>
  </si>
  <si>
    <t>Qtr1</t>
  </si>
  <si>
    <t>Feb</t>
  </si>
  <si>
    <t>Jan</t>
  </si>
  <si>
    <t>Mar</t>
  </si>
  <si>
    <t>Qtr2</t>
  </si>
  <si>
    <t>May</t>
  </si>
  <si>
    <t>Apr</t>
  </si>
  <si>
    <t>Jun</t>
  </si>
  <si>
    <t>TOTAL SALES</t>
  </si>
  <si>
    <t>AVERAGE UNIT PRICE</t>
  </si>
  <si>
    <t>TOTAL UNIT SOLD</t>
  </si>
</sst>
</file>

<file path=xl/styles.xml><?xml version="1.0" encoding="utf-8"?>
<styleSheet xmlns="http://schemas.openxmlformats.org/spreadsheetml/2006/main" xmlns:mc="http://schemas.openxmlformats.org/markup-compatibility/2006" xmlns:x14ac="http://schemas.microsoft.com/office/spreadsheetml/2009/9/ac" mc:Ignorable="x14ac">
  <numFmts count="4">
    <numFmt numFmtId="164" formatCode="[$-409]d/mmm/yy;@"/>
    <numFmt numFmtId="165" formatCode="[$₦-46A]#,##0"/>
    <numFmt numFmtId="166" formatCode="[$₦-46A]#,##0.00"/>
    <numFmt numFmtId="167" formatCode="[$₦-46A]#,##0.0"/>
  </numFmts>
  <fonts count="7" x14ac:knownFonts="1">
    <font>
      <sz val="11"/>
      <color theme="1"/>
      <name val="Calibri"/>
      <family val="2"/>
      <scheme val="minor"/>
    </font>
    <font>
      <b/>
      <sz val="11"/>
      <color theme="0"/>
      <name val="Calibri"/>
      <family val="2"/>
    </font>
    <font>
      <b/>
      <sz val="26"/>
      <color rgb="FF002060"/>
      <name val="Calibri"/>
      <family val="2"/>
      <scheme val="minor"/>
    </font>
    <font>
      <b/>
      <sz val="11"/>
      <color rgb="FF002060"/>
      <name val="Calibri"/>
      <family val="2"/>
      <scheme val="minor"/>
    </font>
    <font>
      <sz val="11"/>
      <color theme="0"/>
      <name val="Calibri"/>
      <family val="2"/>
      <scheme val="minor"/>
    </font>
    <font>
      <sz val="11"/>
      <color theme="1"/>
      <name val="Algerian"/>
      <family val="5"/>
    </font>
    <font>
      <sz val="14"/>
      <color theme="1"/>
      <name val="Algerian"/>
      <family val="5"/>
    </font>
  </fonts>
  <fills count="4">
    <fill>
      <patternFill patternType="none"/>
    </fill>
    <fill>
      <patternFill patternType="gray125"/>
    </fill>
    <fill>
      <patternFill patternType="solid">
        <fgColor rgb="FF002060"/>
        <bgColor indexed="64"/>
      </patternFill>
    </fill>
    <fill>
      <patternFill patternType="solid">
        <fgColor theme="4" tint="0.79998168889431442"/>
        <bgColor indexed="64"/>
      </patternFill>
    </fill>
  </fills>
  <borders count="11">
    <border>
      <left/>
      <right/>
      <top/>
      <bottom/>
      <diagonal/>
    </border>
    <border>
      <left style="thin">
        <color auto="1"/>
      </left>
      <right style="thin">
        <color auto="1"/>
      </right>
      <top style="thin">
        <color auto="1"/>
      </top>
      <bottom style="thin">
        <color auto="1"/>
      </bottom>
      <diagonal/>
    </border>
    <border>
      <left/>
      <right/>
      <top/>
      <bottom style="medium">
        <color indexed="64"/>
      </bottom>
      <diagonal/>
    </border>
    <border>
      <left/>
      <right style="thin">
        <color auto="1"/>
      </right>
      <top style="thin">
        <color auto="1"/>
      </top>
      <bottom style="thin">
        <color auto="1"/>
      </bottom>
      <diagonal/>
    </border>
    <border>
      <left style="thin">
        <color auto="1"/>
      </left>
      <right/>
      <top style="thin">
        <color auto="1"/>
      </top>
      <bottom style="thin">
        <color auto="1"/>
      </bottom>
      <diagonal/>
    </border>
    <border>
      <left/>
      <right style="thin">
        <color auto="1"/>
      </right>
      <top/>
      <bottom style="thin">
        <color auto="1"/>
      </bottom>
      <diagonal/>
    </border>
    <border>
      <left style="thin">
        <color auto="1"/>
      </left>
      <right style="thin">
        <color auto="1"/>
      </right>
      <top/>
      <bottom style="thin">
        <color auto="1"/>
      </bottom>
      <diagonal/>
    </border>
    <border>
      <left style="thin">
        <color auto="1"/>
      </left>
      <right/>
      <top/>
      <bottom style="thin">
        <color auto="1"/>
      </bottom>
      <diagonal/>
    </border>
    <border>
      <left/>
      <right style="thin">
        <color auto="1"/>
      </right>
      <top style="thin">
        <color auto="1"/>
      </top>
      <bottom/>
      <diagonal/>
    </border>
    <border>
      <left style="thin">
        <color auto="1"/>
      </left>
      <right style="thin">
        <color auto="1"/>
      </right>
      <top style="thin">
        <color auto="1"/>
      </top>
      <bottom/>
      <diagonal/>
    </border>
    <border>
      <left style="thin">
        <color auto="1"/>
      </left>
      <right/>
      <top style="thin">
        <color auto="1"/>
      </top>
      <bottom/>
      <diagonal/>
    </border>
  </borders>
  <cellStyleXfs count="1">
    <xf numFmtId="0" fontId="0" fillId="0" borderId="0"/>
  </cellStyleXfs>
  <cellXfs count="36">
    <xf numFmtId="0" fontId="0" fillId="0" borderId="0" xfId="0"/>
    <xf numFmtId="0" fontId="0" fillId="0" borderId="1" xfId="0" applyBorder="1"/>
    <xf numFmtId="0" fontId="1" fillId="2" borderId="1" xfId="0" applyFont="1" applyFill="1" applyBorder="1" applyAlignment="1">
      <alignment horizontal="center" vertical="top"/>
    </xf>
    <xf numFmtId="15" fontId="0" fillId="0" borderId="1" xfId="0" applyNumberFormat="1" applyBorder="1"/>
    <xf numFmtId="0" fontId="0" fillId="3" borderId="0" xfId="0" applyFill="1"/>
    <xf numFmtId="0" fontId="2" fillId="3" borderId="2" xfId="0" applyFont="1" applyFill="1" applyBorder="1"/>
    <xf numFmtId="0" fontId="3" fillId="3" borderId="2" xfId="0" applyFont="1" applyFill="1" applyBorder="1"/>
    <xf numFmtId="164" fontId="0" fillId="0" borderId="0" xfId="0" applyNumberFormat="1"/>
    <xf numFmtId="165" fontId="0" fillId="0" borderId="1" xfId="0" applyNumberFormat="1" applyBorder="1"/>
    <xf numFmtId="165" fontId="0" fillId="0" borderId="0" xfId="0" applyNumberFormat="1"/>
    <xf numFmtId="164" fontId="0" fillId="0" borderId="3" xfId="0" applyNumberFormat="1" applyBorder="1"/>
    <xf numFmtId="0" fontId="0" fillId="0" borderId="4" xfId="0" applyBorder="1"/>
    <xf numFmtId="164" fontId="1" fillId="2" borderId="5" xfId="0" applyNumberFormat="1" applyFont="1" applyFill="1" applyBorder="1" applyAlignment="1">
      <alignment horizontal="center" vertical="top"/>
    </xf>
    <xf numFmtId="0" fontId="1" fillId="2" borderId="6" xfId="0" applyFont="1" applyFill="1" applyBorder="1" applyAlignment="1">
      <alignment horizontal="center" vertical="top"/>
    </xf>
    <xf numFmtId="165" fontId="1" fillId="2" borderId="6" xfId="0" applyNumberFormat="1" applyFont="1" applyFill="1" applyBorder="1" applyAlignment="1">
      <alignment horizontal="center" vertical="top"/>
    </xf>
    <xf numFmtId="0" fontId="1" fillId="2" borderId="7" xfId="0" applyFont="1" applyFill="1" applyBorder="1" applyAlignment="1">
      <alignment horizontal="center" vertical="top"/>
    </xf>
    <xf numFmtId="164" fontId="0" fillId="0" borderId="8" xfId="0" applyNumberFormat="1" applyBorder="1"/>
    <xf numFmtId="0" fontId="0" fillId="0" borderId="9" xfId="0" applyBorder="1"/>
    <xf numFmtId="165" fontId="0" fillId="0" borderId="9" xfId="0" applyNumberFormat="1" applyBorder="1"/>
    <xf numFmtId="0" fontId="0" fillId="0" borderId="10" xfId="0" applyBorder="1"/>
    <xf numFmtId="0" fontId="0" fillId="0" borderId="0" xfId="0" pivotButton="1"/>
    <xf numFmtId="0" fontId="0" fillId="0" borderId="0" xfId="0" applyAlignment="1">
      <alignment horizontal="left"/>
    </xf>
    <xf numFmtId="0" fontId="0" fillId="0" borderId="0" xfId="0" applyNumberFormat="1"/>
    <xf numFmtId="166" fontId="0" fillId="0" borderId="0" xfId="0" applyNumberFormat="1"/>
    <xf numFmtId="0" fontId="0" fillId="0" borderId="0" xfId="0" applyAlignment="1">
      <alignment horizontal="left" indent="1"/>
    </xf>
    <xf numFmtId="164" fontId="0" fillId="0" borderId="0" xfId="0" applyNumberFormat="1" applyAlignment="1">
      <alignment horizontal="left" indent="1"/>
    </xf>
    <xf numFmtId="0" fontId="0" fillId="0" borderId="0" xfId="0" applyBorder="1"/>
    <xf numFmtId="0" fontId="4" fillId="0" borderId="0" xfId="0" applyFont="1" applyBorder="1"/>
    <xf numFmtId="0" fontId="0" fillId="0" borderId="0" xfId="0" applyFill="1"/>
    <xf numFmtId="0" fontId="0" fillId="0" borderId="0" xfId="0" applyFont="1" applyFill="1"/>
    <xf numFmtId="0" fontId="5" fillId="0" borderId="0" xfId="0" applyFont="1" applyAlignment="1">
      <alignment horizontal="center"/>
    </xf>
    <xf numFmtId="0" fontId="6" fillId="0" borderId="0" xfId="0" applyFont="1" applyAlignment="1">
      <alignment horizontal="center"/>
    </xf>
    <xf numFmtId="167" fontId="6" fillId="0" borderId="0" xfId="0" applyNumberFormat="1" applyFont="1" applyAlignment="1">
      <alignment horizontal="center" vertical="top"/>
    </xf>
    <xf numFmtId="165" fontId="6" fillId="0" borderId="0" xfId="0" applyNumberFormat="1" applyFont="1"/>
    <xf numFmtId="0" fontId="5" fillId="0" borderId="0" xfId="0" applyFont="1" applyFill="1" applyAlignment="1">
      <alignment horizontal="center"/>
    </xf>
    <xf numFmtId="165" fontId="6" fillId="0" borderId="0" xfId="0" applyNumberFormat="1" applyFont="1" applyFill="1"/>
  </cellXfs>
  <cellStyles count="1">
    <cellStyle name="Normal" xfId="0" builtinId="0"/>
  </cellStyles>
  <dxfs count="13">
    <dxf>
      <border diagonalUp="0" diagonalDown="0">
        <left style="thin">
          <color auto="1"/>
        </left>
        <right/>
        <top style="thin">
          <color auto="1"/>
        </top>
        <bottom style="thin">
          <color auto="1"/>
        </bottom>
        <vertical/>
        <horizontal/>
      </border>
    </dxf>
    <dxf>
      <border diagonalUp="0" diagonalDown="0">
        <left style="thin">
          <color auto="1"/>
        </left>
        <right style="thin">
          <color auto="1"/>
        </right>
        <top style="thin">
          <color auto="1"/>
        </top>
        <bottom style="thin">
          <color auto="1"/>
        </bottom>
        <vertical/>
        <horizontal/>
      </border>
    </dxf>
    <dxf>
      <numFmt numFmtId="165" formatCode="[$₦-46A]#,##0"/>
      <border diagonalUp="0" diagonalDown="0">
        <left style="thin">
          <color auto="1"/>
        </left>
        <right style="thin">
          <color auto="1"/>
        </right>
        <top style="thin">
          <color auto="1"/>
        </top>
        <bottom style="thin">
          <color auto="1"/>
        </bottom>
        <vertical/>
        <horizontal/>
      </border>
    </dxf>
    <dxf>
      <numFmt numFmtId="165" formatCode="[$₦-46A]#,##0"/>
      <border diagonalUp="0" diagonalDown="0">
        <left style="thin">
          <color auto="1"/>
        </left>
        <right style="thin">
          <color auto="1"/>
        </right>
        <top style="thin">
          <color auto="1"/>
        </top>
        <bottom style="thin">
          <color auto="1"/>
        </bottom>
        <vertical/>
        <horizontal/>
      </border>
    </dxf>
    <dxf>
      <border diagonalUp="0" diagonalDown="0">
        <left style="thin">
          <color auto="1"/>
        </left>
        <right style="thin">
          <color auto="1"/>
        </right>
        <top style="thin">
          <color auto="1"/>
        </top>
        <bottom style="thin">
          <color auto="1"/>
        </bottom>
        <vertical/>
        <horizontal/>
      </border>
    </dxf>
    <dxf>
      <border diagonalUp="0" diagonalDown="0">
        <left style="thin">
          <color auto="1"/>
        </left>
        <right style="thin">
          <color auto="1"/>
        </right>
        <top style="thin">
          <color auto="1"/>
        </top>
        <bottom style="thin">
          <color auto="1"/>
        </bottom>
        <vertical/>
        <horizontal/>
      </border>
    </dxf>
    <dxf>
      <border diagonalUp="0" diagonalDown="0">
        <left style="thin">
          <color auto="1"/>
        </left>
        <right style="thin">
          <color auto="1"/>
        </right>
        <top style="thin">
          <color auto="1"/>
        </top>
        <bottom style="thin">
          <color auto="1"/>
        </bottom>
        <vertical/>
        <horizontal/>
      </border>
    </dxf>
    <dxf>
      <border diagonalUp="0" diagonalDown="0">
        <left style="thin">
          <color auto="1"/>
        </left>
        <right style="thin">
          <color auto="1"/>
        </right>
        <top style="thin">
          <color auto="1"/>
        </top>
        <bottom style="thin">
          <color auto="1"/>
        </bottom>
        <vertical/>
        <horizontal/>
      </border>
    </dxf>
    <dxf>
      <numFmt numFmtId="164" formatCode="[$-409]d/mmm/yy;@"/>
      <border diagonalUp="0" diagonalDown="0">
        <left/>
        <right style="thin">
          <color auto="1"/>
        </right>
        <top style="thin">
          <color auto="1"/>
        </top>
        <bottom style="thin">
          <color auto="1"/>
        </bottom>
        <vertical/>
        <horizontal/>
      </border>
    </dxf>
    <dxf>
      <border outline="0">
        <top style="thin">
          <color auto="1"/>
        </top>
      </border>
    </dxf>
    <dxf>
      <border outline="0">
        <left style="thin">
          <color auto="1"/>
        </left>
        <right style="thin">
          <color auto="1"/>
        </right>
        <top style="thin">
          <color auto="1"/>
        </top>
        <bottom style="thin">
          <color auto="1"/>
        </bottom>
      </border>
    </dxf>
    <dxf>
      <border outline="0">
        <bottom style="thin">
          <color auto="1"/>
        </bottom>
      </border>
    </dxf>
    <dxf>
      <font>
        <b/>
        <i val="0"/>
        <strike val="0"/>
        <condense val="0"/>
        <extend val="0"/>
        <outline val="0"/>
        <shadow val="0"/>
        <u val="none"/>
        <vertAlign val="baseline"/>
        <sz val="11"/>
        <color theme="0"/>
        <name val="Calibri"/>
        <scheme val="none"/>
      </font>
      <fill>
        <patternFill patternType="solid">
          <fgColor indexed="64"/>
          <bgColor rgb="FF002060"/>
        </patternFill>
      </fill>
      <alignment horizontal="center" vertical="top" textRotation="0" wrapText="0" indent="0" justifyLastLine="0" shrinkToFit="0" readingOrder="0"/>
      <border diagonalUp="0" diagonalDown="0" outline="0">
        <left style="thin">
          <color auto="1"/>
        </left>
        <right style="thin">
          <color auto="1"/>
        </right>
        <top/>
        <bottom/>
      </border>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1.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pivotCacheDefinition" Target="pivotCache/pivotCacheDefinition1.xml"/><Relationship Id="rId12"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4.xml"/><Relationship Id="rId5" Type="http://schemas.openxmlformats.org/officeDocument/2006/relationships/worksheet" Target="worksheets/sheet5.xml"/><Relationship Id="rId15" Type="http://schemas.openxmlformats.org/officeDocument/2006/relationships/calcChain" Target="calcChain.xml"/><Relationship Id="rId10" Type="http://schemas.microsoft.com/office/2007/relationships/slicerCache" Target="slicerCaches/slicerCache3.xml"/><Relationship Id="rId4" Type="http://schemas.openxmlformats.org/officeDocument/2006/relationships/worksheet" Target="worksheets/sheet4.xml"/><Relationship Id="rId9" Type="http://schemas.microsoft.com/office/2007/relationships/slicerCache" Target="slicerCaches/slicerCache2.xml"/><Relationship Id="rId14"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3" Type="http://schemas.openxmlformats.org/officeDocument/2006/relationships/chartUserShapes" Target="../drawings/drawing2.xml"/><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4.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chart1.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[My excel Final Project (1).xlsx]Pivot table!PivotTable2</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Total Sales</a:t>
            </a:r>
            <a:r>
              <a:rPr lang="en-US" baseline="0"/>
              <a:t> by Region</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5400">
            <a:solidFill>
              <a:schemeClr val="lt1"/>
            </a:solidFill>
          </a:ln>
          <a:effectLst/>
          <a:sp3d contourW="25400">
            <a:contourClr>
              <a:schemeClr val="lt1"/>
            </a:contourClr>
          </a:sp3d>
        </c:spPr>
        <c:marker>
          <c:symbol val="none"/>
        </c:marker>
      </c:pivotFmt>
      <c:pivotFmt>
        <c:idx val="1"/>
        <c:spPr>
          <a:solidFill>
            <a:schemeClr val="accent1"/>
          </a:solidFill>
          <a:ln w="25400">
            <a:solidFill>
              <a:schemeClr val="lt1"/>
            </a:solidFill>
          </a:ln>
          <a:effectLst/>
          <a:sp3d contourW="25400">
            <a:contourClr>
              <a:schemeClr val="lt1"/>
            </a:contourClr>
          </a:sp3d>
        </c:spPr>
        <c:marker>
          <c:symbol val="none"/>
        </c:marker>
      </c:pivotFmt>
      <c:pivotFmt>
        <c:idx val="2"/>
        <c:spPr>
          <a:solidFill>
            <a:schemeClr val="accent1"/>
          </a:solidFill>
          <a:ln w="25400">
            <a:solidFill>
              <a:schemeClr val="lt1"/>
            </a:solidFill>
          </a:ln>
          <a:effectLst/>
          <a:sp3d contourW="25400">
            <a:contourClr>
              <a:schemeClr val="lt1"/>
            </a:contourClr>
          </a:sp3d>
        </c:spPr>
      </c:pivotFmt>
      <c:pivotFmt>
        <c:idx val="3"/>
        <c:spPr>
          <a:solidFill>
            <a:schemeClr val="accent1"/>
          </a:solidFill>
          <a:ln w="25400">
            <a:solidFill>
              <a:schemeClr val="lt1"/>
            </a:solidFill>
          </a:ln>
          <a:effectLst/>
          <a:sp3d contourW="25400">
            <a:contourClr>
              <a:schemeClr val="lt1"/>
            </a:contourClr>
          </a:sp3d>
        </c:spPr>
      </c:pivotFmt>
      <c:pivotFmt>
        <c:idx val="4"/>
        <c:spPr>
          <a:solidFill>
            <a:schemeClr val="accent1"/>
          </a:solidFill>
          <a:ln w="25400">
            <a:solidFill>
              <a:schemeClr val="lt1"/>
            </a:solidFill>
          </a:ln>
          <a:effectLst/>
          <a:sp3d contourW="25400">
            <a:contourClr>
              <a:schemeClr val="lt1"/>
            </a:contourClr>
          </a:sp3d>
        </c:spPr>
      </c:pivotFmt>
      <c:pivotFmt>
        <c:idx val="5"/>
        <c:spPr>
          <a:solidFill>
            <a:schemeClr val="accent1"/>
          </a:solidFill>
          <a:ln w="25400">
            <a:solidFill>
              <a:schemeClr val="lt1"/>
            </a:solidFill>
          </a:ln>
          <a:effectLst/>
          <a:sp3d contourW="25400">
            <a:contourClr>
              <a:schemeClr val="lt1"/>
            </a:contourClr>
          </a:sp3d>
        </c:spPr>
      </c:pivotFmt>
      <c:pivotFmt>
        <c:idx val="6"/>
        <c:spPr>
          <a:solidFill>
            <a:schemeClr val="accent1"/>
          </a:solidFill>
          <a:ln w="25400">
            <a:solidFill>
              <a:schemeClr val="lt1"/>
            </a:solidFill>
          </a:ln>
          <a:effectLst/>
          <a:sp3d contourW="25400">
            <a:contourClr>
              <a:schemeClr val="lt1"/>
            </a:contourClr>
          </a:sp3d>
        </c:spPr>
        <c:marker>
          <c:symbol val="none"/>
        </c:marker>
      </c:pivotFmt>
      <c:pivotFmt>
        <c:idx val="7"/>
        <c:spPr>
          <a:solidFill>
            <a:schemeClr val="accent1"/>
          </a:solidFill>
          <a:ln w="25400">
            <a:solidFill>
              <a:schemeClr val="lt1"/>
            </a:solidFill>
          </a:ln>
          <a:effectLst/>
          <a:sp3d contourW="25400">
            <a:contourClr>
              <a:schemeClr val="lt1"/>
            </a:contourClr>
          </a:sp3d>
        </c:spPr>
      </c:pivotFmt>
      <c:pivotFmt>
        <c:idx val="8"/>
        <c:spPr>
          <a:solidFill>
            <a:schemeClr val="accent1"/>
          </a:solidFill>
          <a:ln w="25400">
            <a:solidFill>
              <a:schemeClr val="lt1"/>
            </a:solidFill>
          </a:ln>
          <a:effectLst/>
          <a:sp3d contourW="25400">
            <a:contourClr>
              <a:schemeClr val="lt1"/>
            </a:contourClr>
          </a:sp3d>
        </c:spPr>
      </c:pivotFmt>
      <c:pivotFmt>
        <c:idx val="9"/>
        <c:spPr>
          <a:solidFill>
            <a:schemeClr val="accent1"/>
          </a:solidFill>
          <a:ln w="25400">
            <a:solidFill>
              <a:schemeClr val="lt1"/>
            </a:solidFill>
          </a:ln>
          <a:effectLst/>
          <a:sp3d contourW="25400">
            <a:contourClr>
              <a:schemeClr val="lt1"/>
            </a:contourClr>
          </a:sp3d>
        </c:spPr>
      </c:pivotFmt>
      <c:pivotFmt>
        <c:idx val="10"/>
        <c:spPr>
          <a:solidFill>
            <a:schemeClr val="accent1"/>
          </a:solidFill>
          <a:ln w="25400">
            <a:solidFill>
              <a:schemeClr val="lt1"/>
            </a:solidFill>
          </a:ln>
          <a:effectLst/>
          <a:sp3d contourW="25400">
            <a:contourClr>
              <a:schemeClr val="lt1"/>
            </a:contourClr>
          </a:sp3d>
        </c:spPr>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7.5472608477131845E-2"/>
          <c:y val="0.28874781277340333"/>
          <c:w val="0.70071568746214419"/>
          <c:h val="0.60940015310586182"/>
        </c:manualLayout>
      </c:layout>
      <c:pie3DChart>
        <c:varyColors val="1"/>
        <c:ser>
          <c:idx val="0"/>
          <c:order val="0"/>
          <c:tx>
            <c:strRef>
              <c:f>'Pivot table'!$E$3</c:f>
              <c:strCache>
                <c:ptCount val="1"/>
                <c:pt idx="0">
                  <c:v>Total</c:v>
                </c:pt>
              </c:strCache>
            </c:strRef>
          </c:tx>
          <c:dPt>
            <c:idx val="0"/>
            <c:bubble3D val="0"/>
            <c:spPr>
              <a:solidFill>
                <a:schemeClr val="accent1"/>
              </a:solidFill>
              <a:ln w="25400">
                <a:solidFill>
                  <a:schemeClr val="lt1"/>
                </a:solidFill>
              </a:ln>
              <a:effectLst/>
              <a:sp3d contourW="25400">
                <a:contourClr>
                  <a:schemeClr val="lt1"/>
                </a:contourClr>
              </a:sp3d>
            </c:spPr>
          </c:dPt>
          <c:dPt>
            <c:idx val="1"/>
            <c:bubble3D val="0"/>
            <c:spPr>
              <a:solidFill>
                <a:schemeClr val="accent2"/>
              </a:solidFill>
              <a:ln w="25400">
                <a:solidFill>
                  <a:schemeClr val="lt1"/>
                </a:solidFill>
              </a:ln>
              <a:effectLst/>
              <a:sp3d contourW="25400">
                <a:contourClr>
                  <a:schemeClr val="lt1"/>
                </a:contourClr>
              </a:sp3d>
            </c:spPr>
          </c:dPt>
          <c:dPt>
            <c:idx val="2"/>
            <c:bubble3D val="0"/>
            <c:spPr>
              <a:solidFill>
                <a:schemeClr val="accent3"/>
              </a:solidFill>
              <a:ln w="25400">
                <a:solidFill>
                  <a:schemeClr val="lt1"/>
                </a:solidFill>
              </a:ln>
              <a:effectLst/>
              <a:sp3d contourW="25400">
                <a:contourClr>
                  <a:schemeClr val="lt1"/>
                </a:contourClr>
              </a:sp3d>
            </c:spPr>
          </c:dPt>
          <c:dPt>
            <c:idx val="3"/>
            <c:bubble3D val="0"/>
            <c:spPr>
              <a:solidFill>
                <a:schemeClr val="accent4"/>
              </a:solidFill>
              <a:ln w="25400">
                <a:solidFill>
                  <a:schemeClr val="lt1"/>
                </a:solidFill>
              </a:ln>
              <a:effectLst/>
              <a:sp3d contourW="25400">
                <a:contourClr>
                  <a:schemeClr val="lt1"/>
                </a:contourClr>
              </a:sp3d>
            </c:spPr>
          </c:dPt>
          <c:cat>
            <c:strRef>
              <c:f>'Pivot table'!$D$4:$D$7</c:f>
              <c:strCache>
                <c:ptCount val="4"/>
                <c:pt idx="0">
                  <c:v>East</c:v>
                </c:pt>
                <c:pt idx="1">
                  <c:v>North</c:v>
                </c:pt>
                <c:pt idx="2">
                  <c:v>South</c:v>
                </c:pt>
                <c:pt idx="3">
                  <c:v>West</c:v>
                </c:pt>
              </c:strCache>
            </c:strRef>
          </c:cat>
          <c:val>
            <c:numRef>
              <c:f>'Pivot table'!$E$4:$E$7</c:f>
              <c:numCache>
                <c:formatCode>[$₦-46A]#,##0</c:formatCode>
                <c:ptCount val="4"/>
                <c:pt idx="0">
                  <c:v>136005000</c:v>
                </c:pt>
                <c:pt idx="1">
                  <c:v>82604631</c:v>
                </c:pt>
                <c:pt idx="2">
                  <c:v>56695000</c:v>
                </c:pt>
                <c:pt idx="3">
                  <c:v>48430000</c:v>
                </c:pt>
              </c:numCache>
            </c:numRef>
          </c:val>
        </c:ser>
        <c:dLbls>
          <c:showLegendKey val="0"/>
          <c:showVal val="0"/>
          <c:showCatName val="0"/>
          <c:showSerName val="0"/>
          <c:showPercent val="0"/>
          <c:showBubbleSize val="0"/>
          <c:showLeaderLines val="1"/>
        </c:dLbls>
      </c:pie3D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accent4">
        <a:lumMod val="60000"/>
        <a:lumOff val="40000"/>
      </a:schemeClr>
    </a:solidFill>
    <a:ln w="9525" cap="flat" cmpd="sng" algn="ctr">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round/>
    </a:ln>
    <a:effectLst>
      <a:glow rad="127000">
        <a:schemeClr val="bg1"/>
      </a:glo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eries val="1"/>
      </c14:pivotOptions>
    </c:ext>
  </c:extLst>
</c:chartSpace>
</file>

<file path=xl/charts/chart2.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[My excel Final Project (1).xlsx]Sheet1!PivotTable3</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Total Sales</a:t>
            </a:r>
            <a:r>
              <a:rPr lang="en-US" baseline="0"/>
              <a:t> by Category</a:t>
            </a:r>
            <a:endParaRPr lang="en-US"/>
          </a:p>
        </c:rich>
      </c:tx>
      <c:layout>
        <c:manualLayout>
          <c:xMode val="edge"/>
          <c:yMode val="edge"/>
          <c:x val="0.18050925925925929"/>
          <c:y val="5.5267733000276341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gradFill>
            <a:gsLst>
              <a:gs pos="0">
                <a:schemeClr val="accent1">
                  <a:lumMod val="5000"/>
                  <a:lumOff val="95000"/>
                </a:schemeClr>
              </a:gs>
              <a:gs pos="74000">
                <a:schemeClr val="accent1">
                  <a:lumMod val="45000"/>
                  <a:lumOff val="55000"/>
                </a:schemeClr>
              </a:gs>
              <a:gs pos="83000">
                <a:schemeClr val="accent1">
                  <a:lumMod val="45000"/>
                  <a:lumOff val="55000"/>
                </a:schemeClr>
              </a:gs>
              <a:gs pos="30000">
                <a:schemeClr val="accent1"/>
              </a:gs>
            </a:gsLst>
            <a:lin ang="5400000" scaled="1"/>
          </a:gradFill>
          <a:ln>
            <a:noFill/>
          </a:ln>
          <a:effectLst/>
        </c:spPr>
        <c:marker>
          <c:symbol val="none"/>
        </c:marker>
      </c:pivotFmt>
    </c:pivotFmts>
    <c:plotArea>
      <c:layout>
        <c:manualLayout>
          <c:layoutTarget val="inner"/>
          <c:xMode val="edge"/>
          <c:yMode val="edge"/>
          <c:x val="0.27015070136100539"/>
          <c:y val="0.19253570099721265"/>
          <c:w val="0.72476960247518729"/>
          <c:h val="0.50216936731501083"/>
        </c:manualLayout>
      </c:layout>
      <c:barChart>
        <c:barDir val="col"/>
        <c:grouping val="clustered"/>
        <c:varyColors val="0"/>
        <c:ser>
          <c:idx val="0"/>
          <c:order val="0"/>
          <c:tx>
            <c:strRef>
              <c:f>Sheet1!$H$3</c:f>
              <c:strCache>
                <c:ptCount val="1"/>
                <c:pt idx="0">
                  <c:v>Total</c:v>
                </c:pt>
              </c:strCache>
            </c:strRef>
          </c:tx>
          <c:spPr>
            <a:gradFill>
              <a:gsLst>
                <a:gs pos="0">
                  <a:schemeClr val="accent1">
                    <a:lumMod val="5000"/>
                    <a:lumOff val="95000"/>
                  </a:schemeClr>
                </a:gs>
                <a:gs pos="74000">
                  <a:schemeClr val="accent1">
                    <a:lumMod val="45000"/>
                    <a:lumOff val="55000"/>
                  </a:schemeClr>
                </a:gs>
                <a:gs pos="83000">
                  <a:schemeClr val="accent1">
                    <a:lumMod val="45000"/>
                    <a:lumOff val="55000"/>
                  </a:schemeClr>
                </a:gs>
                <a:gs pos="30000">
                  <a:schemeClr val="accent1"/>
                </a:gs>
              </a:gsLst>
              <a:lin ang="5400000" scaled="1"/>
            </a:gradFill>
            <a:ln>
              <a:noFill/>
            </a:ln>
            <a:effectLst/>
          </c:spPr>
          <c:invertIfNegative val="0"/>
          <c:cat>
            <c:strRef>
              <c:f>Sheet1!$G$4:$G$9</c:f>
              <c:strCache>
                <c:ptCount val="6"/>
                <c:pt idx="0">
                  <c:v>Audio</c:v>
                </c:pt>
                <c:pt idx="1">
                  <c:v>Computers</c:v>
                </c:pt>
                <c:pt idx="2">
                  <c:v>Electronics</c:v>
                </c:pt>
                <c:pt idx="3">
                  <c:v>Mobile</c:v>
                </c:pt>
                <c:pt idx="4">
                  <c:v>Peripherals</c:v>
                </c:pt>
                <c:pt idx="5">
                  <c:v>Photography</c:v>
                </c:pt>
              </c:strCache>
            </c:strRef>
          </c:cat>
          <c:val>
            <c:numRef>
              <c:f>Sheet1!$H$4:$H$9</c:f>
              <c:numCache>
                <c:formatCode>[$₦-46A]#,##0</c:formatCode>
                <c:ptCount val="6"/>
                <c:pt idx="0">
                  <c:v>8954631</c:v>
                </c:pt>
                <c:pt idx="1">
                  <c:v>155750000</c:v>
                </c:pt>
                <c:pt idx="2">
                  <c:v>75250000</c:v>
                </c:pt>
                <c:pt idx="3">
                  <c:v>46620000</c:v>
                </c:pt>
                <c:pt idx="4">
                  <c:v>11610000</c:v>
                </c:pt>
                <c:pt idx="5">
                  <c:v>25550000</c:v>
                </c:pt>
              </c:numCache>
            </c:numRef>
          </c:val>
        </c:ser>
        <c:dLbls>
          <c:showLegendKey val="0"/>
          <c:showVal val="0"/>
          <c:showCatName val="0"/>
          <c:showSerName val="0"/>
          <c:showPercent val="0"/>
          <c:showBubbleSize val="0"/>
        </c:dLbls>
        <c:gapWidth val="219"/>
        <c:overlap val="-27"/>
        <c:axId val="1206106272"/>
        <c:axId val="1206112800"/>
      </c:barChart>
      <c:catAx>
        <c:axId val="120610627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06112800"/>
        <c:crosses val="autoZero"/>
        <c:auto val="1"/>
        <c:lblAlgn val="ctr"/>
        <c:lblOffset val="100"/>
        <c:noMultiLvlLbl val="0"/>
      </c:catAx>
      <c:valAx>
        <c:axId val="1206112800"/>
        <c:scaling>
          <c:orientation val="minMax"/>
        </c:scaling>
        <c:delete val="0"/>
        <c:axPos val="l"/>
        <c:numFmt formatCode="[$₦-46A]#,##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06106272"/>
        <c:crosses val="autoZero"/>
        <c:crossBetween val="between"/>
      </c:valAx>
      <c:spPr>
        <a:noFill/>
        <a:ln>
          <a:noFill/>
        </a:ln>
        <a:effectLst/>
      </c:spPr>
    </c:plotArea>
    <c:plotVisOnly val="1"/>
    <c:dispBlanksAs val="gap"/>
    <c:showDLblsOverMax val="0"/>
  </c:chart>
  <c:spPr>
    <a:solidFill>
      <a:schemeClr val="accent4">
        <a:lumMod val="60000"/>
        <a:lumOff val="40000"/>
      </a:schemeClr>
    </a:solidFill>
    <a:ln w="9525" cap="flat" cmpd="sng" algn="ctr">
      <a:gradFill>
        <a:gsLst>
          <a:gs pos="0">
            <a:schemeClr val="accent1">
              <a:lumMod val="5000"/>
              <a:lumOff val="95000"/>
            </a:schemeClr>
          </a:gs>
          <a:gs pos="74000">
            <a:schemeClr val="accent1">
              <a:lumMod val="45000"/>
              <a:lumOff val="55000"/>
            </a:schemeClr>
          </a:gs>
          <a:gs pos="83000">
            <a:schemeClr val="accent1">
              <a:lumMod val="45000"/>
              <a:lumOff val="55000"/>
            </a:schemeClr>
          </a:gs>
          <a:gs pos="81000">
            <a:schemeClr val="accent1">
              <a:lumMod val="30000"/>
              <a:lumOff val="70000"/>
            </a:schemeClr>
          </a:gs>
        </a:gsLst>
        <a:lin ang="5400000" scaled="1"/>
      </a:gradFill>
      <a:round/>
    </a:ln>
    <a:effectLst>
      <a:glow rad="127000">
        <a:schemeClr val="bg1"/>
      </a:glo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Lst>
</c:chartSpace>
</file>

<file path=xl/charts/chart3.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[My excel Final Project (1).xlsx]Sheet1!PivotTable4</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Total Sales</a:t>
            </a:r>
            <a:r>
              <a:rPr lang="en-US" baseline="0"/>
              <a:t> by Product</a:t>
            </a:r>
            <a:endParaRPr lang="en-US"/>
          </a:p>
        </c:rich>
      </c:tx>
      <c:layout>
        <c:manualLayout>
          <c:xMode val="edge"/>
          <c:yMode val="edge"/>
          <c:x val="0.24241394825646795"/>
          <c:y val="5.5267935258092739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gradFill>
            <a:gsLst>
              <a:gs pos="0">
                <a:schemeClr val="accent1">
                  <a:lumMod val="5000"/>
                  <a:lumOff val="95000"/>
                </a:schemeClr>
              </a:gs>
              <a:gs pos="74000">
                <a:schemeClr val="accent1">
                  <a:lumMod val="45000"/>
                  <a:lumOff val="55000"/>
                </a:schemeClr>
              </a:gs>
              <a:gs pos="83000">
                <a:schemeClr val="accent1">
                  <a:lumMod val="45000"/>
                  <a:lumOff val="55000"/>
                </a:schemeClr>
              </a:gs>
              <a:gs pos="30000">
                <a:schemeClr val="accent1"/>
              </a:gs>
            </a:gsLst>
            <a:lin ang="5400000" scaled="1"/>
          </a:gradFill>
          <a:ln>
            <a:noFill/>
          </a:ln>
          <a:effectLst/>
        </c:spPr>
        <c:marker>
          <c:symbol val="none"/>
        </c:marker>
      </c:pivotFmt>
      <c:pivotFmt>
        <c:idx val="3"/>
        <c:spPr>
          <a:gradFill>
            <a:gsLst>
              <a:gs pos="0">
                <a:schemeClr val="accent1">
                  <a:lumMod val="5000"/>
                  <a:lumOff val="95000"/>
                </a:schemeClr>
              </a:gs>
              <a:gs pos="74000">
                <a:schemeClr val="accent1">
                  <a:lumMod val="45000"/>
                  <a:lumOff val="55000"/>
                </a:schemeClr>
              </a:gs>
              <a:gs pos="83000">
                <a:schemeClr val="accent1">
                  <a:lumMod val="45000"/>
                  <a:lumOff val="55000"/>
                </a:schemeClr>
              </a:gs>
              <a:gs pos="30000">
                <a:schemeClr val="accent1"/>
              </a:gs>
            </a:gsLst>
            <a:lin ang="5400000" scaled="1"/>
          </a:gradFill>
          <a:ln>
            <a:noFill/>
          </a:ln>
          <a:effectLst/>
        </c:spPr>
        <c:marker>
          <c:symbol val="none"/>
        </c:marker>
      </c:pivotFmt>
      <c:pivotFmt>
        <c:idx val="4"/>
        <c:spPr>
          <a:gradFill>
            <a:gsLst>
              <a:gs pos="0">
                <a:schemeClr val="accent1">
                  <a:lumMod val="5000"/>
                  <a:lumOff val="95000"/>
                </a:schemeClr>
              </a:gs>
              <a:gs pos="74000">
                <a:schemeClr val="accent1">
                  <a:lumMod val="45000"/>
                  <a:lumOff val="55000"/>
                </a:schemeClr>
              </a:gs>
              <a:gs pos="83000">
                <a:schemeClr val="accent1">
                  <a:lumMod val="45000"/>
                  <a:lumOff val="55000"/>
                </a:schemeClr>
              </a:gs>
              <a:gs pos="30000">
                <a:schemeClr val="accent1"/>
              </a:gs>
            </a:gsLst>
            <a:lin ang="5400000" scaled="1"/>
          </a:gradFill>
          <a:ln>
            <a:noFill/>
          </a:ln>
          <a:effectLst/>
        </c:spPr>
        <c:marker>
          <c:symbol val="none"/>
        </c:marker>
      </c:pivotFmt>
      <c:pivotFmt>
        <c:idx val="5"/>
        <c:spPr>
          <a:gradFill>
            <a:gsLst>
              <a:gs pos="0">
                <a:schemeClr val="accent1">
                  <a:lumMod val="5000"/>
                  <a:lumOff val="95000"/>
                </a:schemeClr>
              </a:gs>
              <a:gs pos="74000">
                <a:schemeClr val="accent1">
                  <a:lumMod val="45000"/>
                  <a:lumOff val="55000"/>
                </a:schemeClr>
              </a:gs>
              <a:gs pos="83000">
                <a:schemeClr val="accent1">
                  <a:lumMod val="45000"/>
                  <a:lumOff val="55000"/>
                </a:schemeClr>
              </a:gs>
              <a:gs pos="30000">
                <a:schemeClr val="accent1"/>
              </a:gs>
            </a:gsLst>
            <a:lin ang="5400000" scaled="1"/>
          </a:gradFill>
          <a:ln>
            <a:noFill/>
          </a:ln>
          <a:effectLst/>
        </c:spPr>
        <c:marker>
          <c:symbol val="none"/>
        </c:marker>
      </c:pivotFmt>
    </c:pivotFmts>
    <c:plotArea>
      <c:layout>
        <c:manualLayout>
          <c:layoutTarget val="inner"/>
          <c:xMode val="edge"/>
          <c:yMode val="edge"/>
          <c:x val="0.27015070136100539"/>
          <c:y val="0.19253570099721265"/>
          <c:w val="0.72476960247518729"/>
          <c:h val="0.50216936731501083"/>
        </c:manualLayout>
      </c:layout>
      <c:barChart>
        <c:barDir val="col"/>
        <c:grouping val="clustered"/>
        <c:varyColors val="0"/>
        <c:ser>
          <c:idx val="0"/>
          <c:order val="0"/>
          <c:tx>
            <c:strRef>
              <c:f>Sheet1!$K$3</c:f>
              <c:strCache>
                <c:ptCount val="1"/>
                <c:pt idx="0">
                  <c:v>Total</c:v>
                </c:pt>
              </c:strCache>
            </c:strRef>
          </c:tx>
          <c:spPr>
            <a:gradFill>
              <a:gsLst>
                <a:gs pos="0">
                  <a:schemeClr val="accent1">
                    <a:lumMod val="5000"/>
                    <a:lumOff val="95000"/>
                  </a:schemeClr>
                </a:gs>
                <a:gs pos="74000">
                  <a:schemeClr val="accent1">
                    <a:lumMod val="45000"/>
                    <a:lumOff val="55000"/>
                  </a:schemeClr>
                </a:gs>
                <a:gs pos="83000">
                  <a:schemeClr val="accent1">
                    <a:lumMod val="45000"/>
                    <a:lumOff val="55000"/>
                  </a:schemeClr>
                </a:gs>
                <a:gs pos="30000">
                  <a:schemeClr val="accent1"/>
                </a:gs>
              </a:gsLst>
              <a:lin ang="5400000" scaled="1"/>
            </a:gradFill>
            <a:ln>
              <a:noFill/>
            </a:ln>
            <a:effectLst/>
          </c:spPr>
          <c:invertIfNegative val="0"/>
          <c:cat>
            <c:strRef>
              <c:f>Sheet1!$J$4:$J$10</c:f>
              <c:strCache>
                <c:ptCount val="7"/>
                <c:pt idx="0">
                  <c:v>Phone X12</c:v>
                </c:pt>
                <c:pt idx="1">
                  <c:v>Speaker S10</c:v>
                </c:pt>
                <c:pt idx="2">
                  <c:v>Laptop A15</c:v>
                </c:pt>
                <c:pt idx="3">
                  <c:v>Tablet T8</c:v>
                </c:pt>
                <c:pt idx="4">
                  <c:v>Camera C100</c:v>
                </c:pt>
                <c:pt idx="5">
                  <c:v>Tv 43Q</c:v>
                </c:pt>
                <c:pt idx="6">
                  <c:v>Monitor M24</c:v>
                </c:pt>
              </c:strCache>
            </c:strRef>
          </c:cat>
          <c:val>
            <c:numRef>
              <c:f>Sheet1!$K$4:$K$10</c:f>
              <c:numCache>
                <c:formatCode>[$₦-46A]#,##0</c:formatCode>
                <c:ptCount val="7"/>
                <c:pt idx="0">
                  <c:v>123599631</c:v>
                </c:pt>
                <c:pt idx="1">
                  <c:v>47800000</c:v>
                </c:pt>
                <c:pt idx="2">
                  <c:v>42870000</c:v>
                </c:pt>
                <c:pt idx="3">
                  <c:v>34400000</c:v>
                </c:pt>
                <c:pt idx="4">
                  <c:v>26940000</c:v>
                </c:pt>
                <c:pt idx="5">
                  <c:v>26475000</c:v>
                </c:pt>
                <c:pt idx="6">
                  <c:v>21650000</c:v>
                </c:pt>
              </c:numCache>
            </c:numRef>
          </c:val>
        </c:ser>
        <c:dLbls>
          <c:showLegendKey val="0"/>
          <c:showVal val="0"/>
          <c:showCatName val="0"/>
          <c:showSerName val="0"/>
          <c:showPercent val="0"/>
          <c:showBubbleSize val="0"/>
        </c:dLbls>
        <c:gapWidth val="219"/>
        <c:overlap val="-27"/>
        <c:axId val="1206099744"/>
        <c:axId val="1206101920"/>
      </c:barChart>
      <c:catAx>
        <c:axId val="120609974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06101920"/>
        <c:crosses val="autoZero"/>
        <c:auto val="1"/>
        <c:lblAlgn val="ctr"/>
        <c:lblOffset val="100"/>
        <c:noMultiLvlLbl val="0"/>
      </c:catAx>
      <c:valAx>
        <c:axId val="1206101920"/>
        <c:scaling>
          <c:orientation val="minMax"/>
        </c:scaling>
        <c:delete val="0"/>
        <c:axPos val="l"/>
        <c:numFmt formatCode="[$₦-46A]#,##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06099744"/>
        <c:crosses val="autoZero"/>
        <c:crossBetween val="between"/>
      </c:valAx>
      <c:spPr>
        <a:noFill/>
        <a:ln>
          <a:noFill/>
        </a:ln>
        <a:effectLst/>
      </c:spPr>
    </c:plotArea>
    <c:plotVisOnly val="1"/>
    <c:dispBlanksAs val="gap"/>
    <c:showDLblsOverMax val="0"/>
  </c:chart>
  <c:spPr>
    <a:solidFill>
      <a:schemeClr val="accent4">
        <a:lumMod val="60000"/>
        <a:lumOff val="40000"/>
      </a:schemeClr>
    </a:solidFill>
    <a:ln w="9525" cap="flat" cmpd="sng" algn="ctr">
      <a:gradFill>
        <a:gsLst>
          <a:gs pos="0">
            <a:schemeClr val="accent1">
              <a:lumMod val="5000"/>
              <a:lumOff val="95000"/>
            </a:schemeClr>
          </a:gs>
          <a:gs pos="74000">
            <a:schemeClr val="accent1">
              <a:lumMod val="45000"/>
              <a:lumOff val="55000"/>
            </a:schemeClr>
          </a:gs>
          <a:gs pos="83000">
            <a:schemeClr val="accent1">
              <a:lumMod val="45000"/>
              <a:lumOff val="55000"/>
            </a:schemeClr>
          </a:gs>
          <a:gs pos="81000">
            <a:schemeClr val="accent1">
              <a:lumMod val="30000"/>
              <a:lumOff val="70000"/>
            </a:schemeClr>
          </a:gs>
        </a:gsLst>
        <a:lin ang="5400000" scaled="1"/>
      </a:gradFill>
      <a:round/>
    </a:ln>
    <a:effectLst>
      <a:glow rad="127000">
        <a:schemeClr val="bg1"/>
      </a:glo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Lst>
</c:chartSpace>
</file>

<file path=xl/charts/chart4.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[My excel Final Project (1).xlsx]Sheet1!PivotTable1</c:name>
    <c:fmtId val="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Highest Customer</a:t>
            </a:r>
            <a:r>
              <a:rPr lang="en-US" baseline="0"/>
              <a:t> By Unit Price</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pivotFmt>
      <c:pivotFmt>
        <c:idx val="1"/>
        <c:spPr>
          <a:solidFill>
            <a:schemeClr val="accent1"/>
          </a:solidFill>
          <a:ln w="28575" cap="rnd">
            <a:solidFill>
              <a:schemeClr val="accent1"/>
            </a:solidFill>
            <a:round/>
          </a:ln>
          <a:effectLst/>
        </c:spPr>
      </c:pivotFmt>
      <c:pivotFmt>
        <c:idx val="2"/>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3"/>
        <c:spPr>
          <a:solidFill>
            <a:schemeClr val="accent1"/>
          </a:solidFill>
          <a:ln w="28575" cap="rnd">
            <a:solidFill>
              <a:schemeClr val="accent1"/>
            </a:solidFill>
            <a:round/>
          </a:ln>
          <a:effectLst/>
        </c:spPr>
        <c:marker>
          <c:symbol val="none"/>
        </c:marker>
      </c:pivotFmt>
      <c:pivotFmt>
        <c:idx val="4"/>
        <c:spPr>
          <a:solidFill>
            <a:schemeClr val="accent1"/>
          </a:solidFill>
          <a:ln w="28575" cap="rnd">
            <a:solidFill>
              <a:schemeClr val="accent1"/>
            </a:solidFill>
            <a:round/>
          </a:ln>
          <a:effectLst/>
        </c:spPr>
        <c:marker>
          <c:symbol val="none"/>
        </c:marker>
      </c:pivotFmt>
      <c:pivotFmt>
        <c:idx val="5"/>
        <c:spPr>
          <a:ln w="28575" cap="rnd">
            <a:solidFill>
              <a:schemeClr val="accent1"/>
            </a:solidFill>
            <a:round/>
          </a:ln>
          <a:effectLst/>
        </c:spPr>
        <c:marker>
          <c:symbol val="none"/>
        </c:marker>
      </c:pivotFmt>
    </c:pivotFmts>
    <c:plotArea>
      <c:layout>
        <c:manualLayout>
          <c:layoutTarget val="inner"/>
          <c:xMode val="edge"/>
          <c:yMode val="edge"/>
          <c:x val="0.23485240270892063"/>
          <c:y val="0.26667450150820698"/>
          <c:w val="0.60876899646803417"/>
          <c:h val="0.39577493111868478"/>
        </c:manualLayout>
      </c:layout>
      <c:lineChart>
        <c:grouping val="stacked"/>
        <c:varyColors val="0"/>
        <c:ser>
          <c:idx val="0"/>
          <c:order val="0"/>
          <c:tx>
            <c:strRef>
              <c:f>Sheet1!$B$3</c:f>
              <c:strCache>
                <c:ptCount val="1"/>
                <c:pt idx="0">
                  <c:v>Total</c:v>
                </c:pt>
              </c:strCache>
            </c:strRef>
          </c:tx>
          <c:spPr>
            <a:ln w="28575" cap="rnd">
              <a:solidFill>
                <a:schemeClr val="accent1"/>
              </a:solidFill>
              <a:round/>
            </a:ln>
            <a:effectLst/>
          </c:spPr>
          <c:marker>
            <c:symbol val="none"/>
          </c:marker>
          <c:cat>
            <c:strRef>
              <c:f>Sheet1!$A$4:$A$18</c:f>
              <c:strCache>
                <c:ptCount val="14"/>
                <c:pt idx="0">
                  <c:v>Kelvin Tech</c:v>
                </c:pt>
                <c:pt idx="1">
                  <c:v>Tola Ventures</c:v>
                </c:pt>
                <c:pt idx="2">
                  <c:v>Zainab Global</c:v>
                </c:pt>
                <c:pt idx="3">
                  <c:v>Musa Enterprises</c:v>
                </c:pt>
                <c:pt idx="4">
                  <c:v>Femi Tech</c:v>
                </c:pt>
                <c:pt idx="5">
                  <c:v>Chika Mart</c:v>
                </c:pt>
                <c:pt idx="6">
                  <c:v>Omega Wholesale</c:v>
                </c:pt>
                <c:pt idx="7">
                  <c:v>Bright Solutions</c:v>
                </c:pt>
                <c:pt idx="8">
                  <c:v>Alpha Retailers</c:v>
                </c:pt>
                <c:pt idx="9">
                  <c:v>Maryam Ltd</c:v>
                </c:pt>
                <c:pt idx="10">
                  <c:v>Tope &amp; Sons</c:v>
                </c:pt>
                <c:pt idx="11">
                  <c:v>Emeka Traders</c:v>
                </c:pt>
                <c:pt idx="12">
                  <c:v>Jide Superstores</c:v>
                </c:pt>
                <c:pt idx="13">
                  <c:v>Adewale Stores</c:v>
                </c:pt>
              </c:strCache>
            </c:strRef>
          </c:cat>
          <c:val>
            <c:numRef>
              <c:f>Sheet1!$B$4:$B$18</c:f>
              <c:numCache>
                <c:formatCode>General</c:formatCode>
                <c:ptCount val="14"/>
                <c:pt idx="0">
                  <c:v>3735000</c:v>
                </c:pt>
                <c:pt idx="1">
                  <c:v>3285000</c:v>
                </c:pt>
                <c:pt idx="2">
                  <c:v>3005000</c:v>
                </c:pt>
                <c:pt idx="3">
                  <c:v>2610000</c:v>
                </c:pt>
                <c:pt idx="4">
                  <c:v>2225000</c:v>
                </c:pt>
                <c:pt idx="5">
                  <c:v>2150000</c:v>
                </c:pt>
                <c:pt idx="6">
                  <c:v>1515000</c:v>
                </c:pt>
                <c:pt idx="7">
                  <c:v>1440000</c:v>
                </c:pt>
                <c:pt idx="8">
                  <c:v>1350000</c:v>
                </c:pt>
                <c:pt idx="9">
                  <c:v>1150000</c:v>
                </c:pt>
                <c:pt idx="10">
                  <c:v>865000</c:v>
                </c:pt>
                <c:pt idx="11">
                  <c:v>760000</c:v>
                </c:pt>
                <c:pt idx="12">
                  <c:v>729233</c:v>
                </c:pt>
                <c:pt idx="13">
                  <c:v>235000</c:v>
                </c:pt>
              </c:numCache>
            </c:numRef>
          </c:val>
          <c:smooth val="0"/>
        </c:ser>
        <c:dLbls>
          <c:showLegendKey val="0"/>
          <c:showVal val="0"/>
          <c:showCatName val="0"/>
          <c:showSerName val="0"/>
          <c:showPercent val="0"/>
          <c:showBubbleSize val="0"/>
        </c:dLbls>
        <c:smooth val="0"/>
        <c:axId val="1206111168"/>
        <c:axId val="1206113344"/>
      </c:lineChart>
      <c:catAx>
        <c:axId val="120611116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06113344"/>
        <c:crosses val="autoZero"/>
        <c:auto val="1"/>
        <c:lblAlgn val="ctr"/>
        <c:lblOffset val="100"/>
        <c:noMultiLvlLbl val="0"/>
      </c:catAx>
      <c:valAx>
        <c:axId val="1206113344"/>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06111168"/>
        <c:crosses val="autoZero"/>
        <c:crossBetween val="between"/>
      </c:valAx>
      <c:spPr>
        <a:noFill/>
        <a:ln>
          <a:noFill/>
        </a:ln>
        <a:effectLst/>
      </c:spPr>
    </c:plotArea>
    <c:plotVisOnly val="1"/>
    <c:dispBlanksAs val="gap"/>
    <c:showDLblsOverMax val="0"/>
  </c:chart>
  <c:spPr>
    <a:solidFill>
      <a:schemeClr val="accent4">
        <a:lumMod val="60000"/>
        <a:lumOff val="40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userShapes r:id="rId3"/>
  <c:extLst>
    <c:ext xmlns:c14="http://schemas.microsoft.com/office/drawing/2007/8/2/chart" uri="{781A3756-C4B2-4CAC-9D66-4F8BD8637D16}">
      <c14:pivotOptions>
        <c14:dropZoneFilter val="1"/>
        <c14:dropZoneCategories val="1"/>
        <c14:dropZoneData val="1"/>
      </c14:pivotOptions>
    </c:ext>
  </c:extLst>
</c:chartSpace>
</file>

<file path=xl/charts/chart5.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[My excel Final Project (1).xlsx]Pivot table!PivotTable5</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Total Sales By Region&amp;</a:t>
            </a:r>
            <a:r>
              <a:rPr lang="en-US" baseline="0"/>
              <a:t> Product</a:t>
            </a:r>
            <a:r>
              <a:rPr lang="en-US"/>
              <a:t> </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1"/>
          </a:solidFill>
          <a:ln>
            <a:noFill/>
          </a:ln>
          <a:effectLst/>
        </c:spPr>
        <c:marker>
          <c:symbol val="none"/>
        </c:marker>
      </c:pivotFmt>
      <c:pivotFmt>
        <c:idx val="3"/>
        <c:spPr>
          <a:solidFill>
            <a:schemeClr val="accent1"/>
          </a:solidFill>
          <a:ln>
            <a:noFill/>
          </a:ln>
          <a:effectLst/>
        </c:spPr>
        <c:marker>
          <c:symbol val="none"/>
        </c:marker>
      </c:pivotFmt>
      <c:pivotFmt>
        <c:idx val="4"/>
        <c:spPr>
          <a:solidFill>
            <a:schemeClr val="accent1"/>
          </a:solidFill>
          <a:ln>
            <a:noFill/>
          </a:ln>
          <a:effectLst/>
        </c:spPr>
        <c:marker>
          <c:symbol val="none"/>
        </c:marker>
      </c:pivotFmt>
      <c:pivotFmt>
        <c:idx val="5"/>
        <c:spPr>
          <a:solidFill>
            <a:schemeClr val="accent1"/>
          </a:solidFill>
          <a:ln>
            <a:noFill/>
          </a:ln>
          <a:effectLst/>
        </c:spPr>
        <c:marker>
          <c:symbol val="none"/>
        </c:marker>
      </c:pivotFmt>
      <c:pivotFmt>
        <c:idx val="6"/>
        <c:spPr>
          <a:solidFill>
            <a:schemeClr val="accent1"/>
          </a:solidFill>
          <a:ln>
            <a:noFill/>
          </a:ln>
          <a:effectLst/>
        </c:spPr>
        <c:marker>
          <c:symbol val="none"/>
        </c:marker>
      </c:pivotFmt>
      <c:pivotFmt>
        <c:idx val="7"/>
        <c:spPr>
          <a:solidFill>
            <a:schemeClr val="accent1"/>
          </a:solidFill>
          <a:ln>
            <a:noFill/>
          </a:ln>
          <a:effectLst/>
        </c:spPr>
        <c:marker>
          <c:symbol val="none"/>
        </c:marker>
      </c:pivotFmt>
      <c:pivotFmt>
        <c:idx val="8"/>
        <c:spPr>
          <a:solidFill>
            <a:schemeClr val="accent1"/>
          </a:solidFill>
          <a:ln>
            <a:noFill/>
          </a:ln>
          <a:effectLst/>
        </c:spPr>
        <c:marker>
          <c:symbol val="none"/>
        </c:marker>
      </c:pivotFmt>
      <c:pivotFmt>
        <c:idx val="9"/>
        <c:spPr>
          <a:solidFill>
            <a:schemeClr val="accent1"/>
          </a:solidFill>
          <a:ln>
            <a:noFill/>
          </a:ln>
          <a:effectLst/>
        </c:spPr>
        <c:marker>
          <c:symbol val="none"/>
        </c:marker>
      </c:pivotFmt>
      <c:pivotFmt>
        <c:idx val="10"/>
        <c:spPr>
          <a:solidFill>
            <a:schemeClr val="accent1"/>
          </a:solidFill>
          <a:ln>
            <a:noFill/>
          </a:ln>
          <a:effectLst/>
        </c:spPr>
        <c:marker>
          <c:symbol val="none"/>
        </c:marker>
      </c:pivotFmt>
      <c:pivotFmt>
        <c:idx val="11"/>
        <c:spPr>
          <a:solidFill>
            <a:schemeClr val="accent1"/>
          </a:solidFill>
          <a:ln>
            <a:noFill/>
          </a:ln>
          <a:effectLst/>
        </c:spPr>
        <c:marker>
          <c:symbol val="none"/>
        </c:marker>
      </c:pivotFmt>
      <c:pivotFmt>
        <c:idx val="12"/>
        <c:spPr>
          <a:solidFill>
            <a:schemeClr val="accent1"/>
          </a:solidFill>
          <a:ln>
            <a:noFill/>
          </a:ln>
          <a:effectLst/>
        </c:spPr>
        <c:marker>
          <c:symbol val="none"/>
        </c:marker>
      </c:pivotFmt>
      <c:pivotFmt>
        <c:idx val="13"/>
        <c:spPr>
          <a:solidFill>
            <a:schemeClr val="accent1"/>
          </a:solidFill>
          <a:ln>
            <a:noFill/>
          </a:ln>
          <a:effectLst/>
        </c:spPr>
        <c:marker>
          <c:symbol val="none"/>
        </c:marker>
      </c:pivotFmt>
      <c:pivotFmt>
        <c:idx val="14"/>
        <c:spPr>
          <a:solidFill>
            <a:schemeClr val="accent1"/>
          </a:solidFill>
          <a:ln>
            <a:noFill/>
          </a:ln>
          <a:effectLst/>
        </c:spPr>
        <c:marker>
          <c:symbol val="none"/>
        </c:marker>
      </c:pivotFmt>
      <c:pivotFmt>
        <c:idx val="15"/>
        <c:spPr>
          <a:solidFill>
            <a:schemeClr val="accent1"/>
          </a:solidFill>
          <a:ln>
            <a:noFill/>
          </a:ln>
          <a:effectLst/>
        </c:spPr>
        <c:marker>
          <c:symbol val="none"/>
        </c:marker>
      </c:pivotFmt>
      <c:pivotFmt>
        <c:idx val="16"/>
        <c:spPr>
          <a:solidFill>
            <a:schemeClr val="accent1"/>
          </a:solidFill>
          <a:ln>
            <a:noFill/>
          </a:ln>
          <a:effectLst/>
        </c:spPr>
        <c:marker>
          <c:symbol val="none"/>
        </c:marker>
      </c:pivotFmt>
      <c:pivotFmt>
        <c:idx val="17"/>
        <c:spPr>
          <a:solidFill>
            <a:schemeClr val="accent1"/>
          </a:solidFill>
          <a:ln>
            <a:noFill/>
          </a:ln>
          <a:effectLst/>
        </c:spPr>
        <c:marker>
          <c:symbol val="none"/>
        </c:marker>
      </c:pivotFmt>
      <c:pivotFmt>
        <c:idx val="18"/>
        <c:spPr>
          <a:solidFill>
            <a:schemeClr val="accent1"/>
          </a:solidFill>
          <a:ln>
            <a:noFill/>
          </a:ln>
          <a:effectLst/>
        </c:spPr>
        <c:marker>
          <c:symbol val="none"/>
        </c:marker>
      </c:pivotFmt>
      <c:pivotFmt>
        <c:idx val="19"/>
        <c:spPr>
          <a:solidFill>
            <a:schemeClr val="accent1"/>
          </a:solidFill>
          <a:ln>
            <a:noFill/>
          </a:ln>
          <a:effectLst/>
        </c:spPr>
        <c:marker>
          <c:symbol val="none"/>
        </c:marker>
      </c:pivotFmt>
      <c:pivotFmt>
        <c:idx val="20"/>
        <c:spPr>
          <a:solidFill>
            <a:schemeClr val="accent1"/>
          </a:solidFill>
          <a:ln>
            <a:noFill/>
          </a:ln>
          <a:effectLst/>
        </c:spPr>
        <c:marker>
          <c:symbol val="none"/>
        </c:marker>
      </c:pivotFmt>
      <c:pivotFmt>
        <c:idx val="21"/>
        <c:spPr>
          <a:solidFill>
            <a:schemeClr val="accent1"/>
          </a:solidFill>
          <a:ln>
            <a:noFill/>
          </a:ln>
          <a:effectLst/>
        </c:spPr>
        <c:marker>
          <c:symbol val="none"/>
        </c:marker>
      </c:pivotFmt>
    </c:pivotFmts>
    <c:plotArea>
      <c:layout>
        <c:manualLayout>
          <c:layoutTarget val="inner"/>
          <c:xMode val="edge"/>
          <c:yMode val="edge"/>
          <c:x val="0.28433279750065843"/>
          <c:y val="0.27860696517412936"/>
          <c:w val="0.67934973526233089"/>
          <c:h val="0.54798553165928887"/>
        </c:manualLayout>
      </c:layout>
      <c:barChart>
        <c:barDir val="col"/>
        <c:grouping val="clustered"/>
        <c:varyColors val="0"/>
        <c:ser>
          <c:idx val="0"/>
          <c:order val="0"/>
          <c:tx>
            <c:strRef>
              <c:f>'Pivot table'!$K$12:$K$13</c:f>
              <c:strCache>
                <c:ptCount val="1"/>
                <c:pt idx="0">
                  <c:v>Camera C100</c:v>
                </c:pt>
              </c:strCache>
            </c:strRef>
          </c:tx>
          <c:spPr>
            <a:solidFill>
              <a:schemeClr val="accent1"/>
            </a:solidFill>
            <a:ln>
              <a:noFill/>
            </a:ln>
            <a:effectLst/>
          </c:spPr>
          <c:invertIfNegative val="0"/>
          <c:cat>
            <c:strRef>
              <c:f>'Pivot table'!$J$14:$J$17</c:f>
              <c:strCache>
                <c:ptCount val="4"/>
                <c:pt idx="0">
                  <c:v>East</c:v>
                </c:pt>
                <c:pt idx="1">
                  <c:v>North</c:v>
                </c:pt>
                <c:pt idx="2">
                  <c:v>South</c:v>
                </c:pt>
                <c:pt idx="3">
                  <c:v>West</c:v>
                </c:pt>
              </c:strCache>
            </c:strRef>
          </c:cat>
          <c:val>
            <c:numRef>
              <c:f>'Pivot table'!$K$14:$K$17</c:f>
              <c:numCache>
                <c:formatCode>[$₦-46A]#,##0</c:formatCode>
                <c:ptCount val="4"/>
                <c:pt idx="0">
                  <c:v>21905000</c:v>
                </c:pt>
                <c:pt idx="1">
                  <c:v>2280000</c:v>
                </c:pt>
                <c:pt idx="2">
                  <c:v>1105000</c:v>
                </c:pt>
                <c:pt idx="3">
                  <c:v>1650000</c:v>
                </c:pt>
              </c:numCache>
            </c:numRef>
          </c:val>
        </c:ser>
        <c:ser>
          <c:idx val="1"/>
          <c:order val="1"/>
          <c:tx>
            <c:strRef>
              <c:f>'Pivot table'!$L$12:$L$13</c:f>
              <c:strCache>
                <c:ptCount val="1"/>
                <c:pt idx="0">
                  <c:v>Laptop A15</c:v>
                </c:pt>
              </c:strCache>
            </c:strRef>
          </c:tx>
          <c:spPr>
            <a:solidFill>
              <a:schemeClr val="accent2"/>
            </a:solidFill>
            <a:ln>
              <a:noFill/>
            </a:ln>
            <a:effectLst/>
          </c:spPr>
          <c:invertIfNegative val="0"/>
          <c:cat>
            <c:strRef>
              <c:f>'Pivot table'!$J$14:$J$17</c:f>
              <c:strCache>
                <c:ptCount val="4"/>
                <c:pt idx="0">
                  <c:v>East</c:v>
                </c:pt>
                <c:pt idx="1">
                  <c:v>North</c:v>
                </c:pt>
                <c:pt idx="2">
                  <c:v>South</c:v>
                </c:pt>
                <c:pt idx="3">
                  <c:v>West</c:v>
                </c:pt>
              </c:strCache>
            </c:strRef>
          </c:cat>
          <c:val>
            <c:numRef>
              <c:f>'Pivot table'!$L$14:$L$17</c:f>
              <c:numCache>
                <c:formatCode>[$₦-46A]#,##0</c:formatCode>
                <c:ptCount val="4"/>
                <c:pt idx="0">
                  <c:v>10200000</c:v>
                </c:pt>
                <c:pt idx="1">
                  <c:v>8250000</c:v>
                </c:pt>
                <c:pt idx="2">
                  <c:v>15800000</c:v>
                </c:pt>
                <c:pt idx="3">
                  <c:v>8620000</c:v>
                </c:pt>
              </c:numCache>
            </c:numRef>
          </c:val>
        </c:ser>
        <c:ser>
          <c:idx val="2"/>
          <c:order val="2"/>
          <c:tx>
            <c:strRef>
              <c:f>'Pivot table'!$M$12:$M$13</c:f>
              <c:strCache>
                <c:ptCount val="1"/>
                <c:pt idx="0">
                  <c:v>Monitor M24</c:v>
                </c:pt>
              </c:strCache>
            </c:strRef>
          </c:tx>
          <c:spPr>
            <a:solidFill>
              <a:schemeClr val="accent3"/>
            </a:solidFill>
            <a:ln>
              <a:noFill/>
            </a:ln>
            <a:effectLst/>
          </c:spPr>
          <c:invertIfNegative val="0"/>
          <c:cat>
            <c:strRef>
              <c:f>'Pivot table'!$J$14:$J$17</c:f>
              <c:strCache>
                <c:ptCount val="4"/>
                <c:pt idx="0">
                  <c:v>East</c:v>
                </c:pt>
                <c:pt idx="1">
                  <c:v>North</c:v>
                </c:pt>
                <c:pt idx="2">
                  <c:v>South</c:v>
                </c:pt>
                <c:pt idx="3">
                  <c:v>West</c:v>
                </c:pt>
              </c:strCache>
            </c:strRef>
          </c:cat>
          <c:val>
            <c:numRef>
              <c:f>'Pivot table'!$M$14:$M$17</c:f>
              <c:numCache>
                <c:formatCode>[$₦-46A]#,##0</c:formatCode>
                <c:ptCount val="4"/>
                <c:pt idx="0">
                  <c:v>4010000</c:v>
                </c:pt>
                <c:pt idx="1">
                  <c:v>2850000</c:v>
                </c:pt>
                <c:pt idx="2">
                  <c:v>6455000</c:v>
                </c:pt>
                <c:pt idx="3">
                  <c:v>8335000</c:v>
                </c:pt>
              </c:numCache>
            </c:numRef>
          </c:val>
        </c:ser>
        <c:ser>
          <c:idx val="3"/>
          <c:order val="3"/>
          <c:tx>
            <c:strRef>
              <c:f>'Pivot table'!$N$12:$N$13</c:f>
              <c:strCache>
                <c:ptCount val="1"/>
                <c:pt idx="0">
                  <c:v>Phone X12</c:v>
                </c:pt>
              </c:strCache>
            </c:strRef>
          </c:tx>
          <c:spPr>
            <a:solidFill>
              <a:schemeClr val="accent4"/>
            </a:solidFill>
            <a:ln>
              <a:noFill/>
            </a:ln>
            <a:effectLst/>
          </c:spPr>
          <c:invertIfNegative val="0"/>
          <c:cat>
            <c:strRef>
              <c:f>'Pivot table'!$J$14:$J$17</c:f>
              <c:strCache>
                <c:ptCount val="4"/>
                <c:pt idx="0">
                  <c:v>East</c:v>
                </c:pt>
                <c:pt idx="1">
                  <c:v>North</c:v>
                </c:pt>
                <c:pt idx="2">
                  <c:v>South</c:v>
                </c:pt>
                <c:pt idx="3">
                  <c:v>West</c:v>
                </c:pt>
              </c:strCache>
            </c:strRef>
          </c:cat>
          <c:val>
            <c:numRef>
              <c:f>'Pivot table'!$N$14:$N$17</c:f>
              <c:numCache>
                <c:formatCode>[$₦-46A]#,##0</c:formatCode>
                <c:ptCount val="4"/>
                <c:pt idx="0">
                  <c:v>70170000</c:v>
                </c:pt>
                <c:pt idx="1">
                  <c:v>51049631</c:v>
                </c:pt>
                <c:pt idx="2">
                  <c:v>1530000</c:v>
                </c:pt>
                <c:pt idx="3">
                  <c:v>850000</c:v>
                </c:pt>
              </c:numCache>
            </c:numRef>
          </c:val>
        </c:ser>
        <c:ser>
          <c:idx val="4"/>
          <c:order val="4"/>
          <c:tx>
            <c:strRef>
              <c:f>'Pivot table'!$O$12:$O$13</c:f>
              <c:strCache>
                <c:ptCount val="1"/>
                <c:pt idx="0">
                  <c:v>Speaker S10</c:v>
                </c:pt>
              </c:strCache>
            </c:strRef>
          </c:tx>
          <c:spPr>
            <a:solidFill>
              <a:schemeClr val="accent5"/>
            </a:solidFill>
            <a:ln>
              <a:noFill/>
            </a:ln>
            <a:effectLst/>
          </c:spPr>
          <c:invertIfNegative val="0"/>
          <c:cat>
            <c:strRef>
              <c:f>'Pivot table'!$J$14:$J$17</c:f>
              <c:strCache>
                <c:ptCount val="4"/>
                <c:pt idx="0">
                  <c:v>East</c:v>
                </c:pt>
                <c:pt idx="1">
                  <c:v>North</c:v>
                </c:pt>
                <c:pt idx="2">
                  <c:v>South</c:v>
                </c:pt>
                <c:pt idx="3">
                  <c:v>West</c:v>
                </c:pt>
              </c:strCache>
            </c:strRef>
          </c:cat>
          <c:val>
            <c:numRef>
              <c:f>'Pivot table'!$O$14:$O$17</c:f>
              <c:numCache>
                <c:formatCode>[$₦-46A]#,##0</c:formatCode>
                <c:ptCount val="4"/>
                <c:pt idx="0">
                  <c:v>19950000</c:v>
                </c:pt>
                <c:pt idx="1">
                  <c:v>7350000</c:v>
                </c:pt>
                <c:pt idx="2">
                  <c:v>15250000</c:v>
                </c:pt>
                <c:pt idx="3">
                  <c:v>5250000</c:v>
                </c:pt>
              </c:numCache>
            </c:numRef>
          </c:val>
        </c:ser>
        <c:ser>
          <c:idx val="5"/>
          <c:order val="5"/>
          <c:tx>
            <c:strRef>
              <c:f>'Pivot table'!$P$12:$P$13</c:f>
              <c:strCache>
                <c:ptCount val="1"/>
                <c:pt idx="0">
                  <c:v>Tablet T8</c:v>
                </c:pt>
              </c:strCache>
            </c:strRef>
          </c:tx>
          <c:spPr>
            <a:solidFill>
              <a:schemeClr val="accent6"/>
            </a:solidFill>
            <a:ln>
              <a:noFill/>
            </a:ln>
            <a:effectLst/>
          </c:spPr>
          <c:invertIfNegative val="0"/>
          <c:cat>
            <c:strRef>
              <c:f>'Pivot table'!$J$14:$J$17</c:f>
              <c:strCache>
                <c:ptCount val="4"/>
                <c:pt idx="0">
                  <c:v>East</c:v>
                </c:pt>
                <c:pt idx="1">
                  <c:v>North</c:v>
                </c:pt>
                <c:pt idx="2">
                  <c:v>South</c:v>
                </c:pt>
                <c:pt idx="3">
                  <c:v>West</c:v>
                </c:pt>
              </c:strCache>
            </c:strRef>
          </c:cat>
          <c:val>
            <c:numRef>
              <c:f>'Pivot table'!$P$14:$P$17</c:f>
              <c:numCache>
                <c:formatCode>[$₦-46A]#,##0</c:formatCode>
                <c:ptCount val="4"/>
                <c:pt idx="0">
                  <c:v>4800000</c:v>
                </c:pt>
                <c:pt idx="1">
                  <c:v>3300000</c:v>
                </c:pt>
                <c:pt idx="2">
                  <c:v>7800000</c:v>
                </c:pt>
                <c:pt idx="3">
                  <c:v>18500000</c:v>
                </c:pt>
              </c:numCache>
            </c:numRef>
          </c:val>
        </c:ser>
        <c:ser>
          <c:idx val="6"/>
          <c:order val="6"/>
          <c:tx>
            <c:strRef>
              <c:f>'Pivot table'!$Q$12:$Q$13</c:f>
              <c:strCache>
                <c:ptCount val="1"/>
                <c:pt idx="0">
                  <c:v>Tv 43Q</c:v>
                </c:pt>
              </c:strCache>
            </c:strRef>
          </c:tx>
          <c:spPr>
            <a:solidFill>
              <a:schemeClr val="accent1">
                <a:lumMod val="60000"/>
              </a:schemeClr>
            </a:solidFill>
            <a:ln>
              <a:noFill/>
            </a:ln>
            <a:effectLst/>
          </c:spPr>
          <c:invertIfNegative val="0"/>
          <c:cat>
            <c:strRef>
              <c:f>'Pivot table'!$J$14:$J$17</c:f>
              <c:strCache>
                <c:ptCount val="4"/>
                <c:pt idx="0">
                  <c:v>East</c:v>
                </c:pt>
                <c:pt idx="1">
                  <c:v>North</c:v>
                </c:pt>
                <c:pt idx="2">
                  <c:v>South</c:v>
                </c:pt>
                <c:pt idx="3">
                  <c:v>West</c:v>
                </c:pt>
              </c:strCache>
            </c:strRef>
          </c:cat>
          <c:val>
            <c:numRef>
              <c:f>'Pivot table'!$Q$14:$Q$17</c:f>
              <c:numCache>
                <c:formatCode>[$₦-46A]#,##0</c:formatCode>
                <c:ptCount val="4"/>
                <c:pt idx="0">
                  <c:v>4970000</c:v>
                </c:pt>
                <c:pt idx="1">
                  <c:v>7525000</c:v>
                </c:pt>
                <c:pt idx="2">
                  <c:v>8755000</c:v>
                </c:pt>
                <c:pt idx="3">
                  <c:v>5225000</c:v>
                </c:pt>
              </c:numCache>
            </c:numRef>
          </c:val>
        </c:ser>
        <c:dLbls>
          <c:showLegendKey val="0"/>
          <c:showVal val="0"/>
          <c:showCatName val="0"/>
          <c:showSerName val="0"/>
          <c:showPercent val="0"/>
          <c:showBubbleSize val="0"/>
        </c:dLbls>
        <c:gapWidth val="219"/>
        <c:overlap val="-27"/>
        <c:axId val="1206105184"/>
        <c:axId val="1206105728"/>
      </c:barChart>
      <c:catAx>
        <c:axId val="120610518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06105728"/>
        <c:crosses val="autoZero"/>
        <c:auto val="1"/>
        <c:lblAlgn val="ctr"/>
        <c:lblOffset val="100"/>
        <c:noMultiLvlLbl val="0"/>
      </c:catAx>
      <c:valAx>
        <c:axId val="1206105728"/>
        <c:scaling>
          <c:orientation val="minMax"/>
        </c:scaling>
        <c:delete val="0"/>
        <c:axPos val="l"/>
        <c:numFmt formatCode="[$₦-46A]#,##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06105184"/>
        <c:crosses val="autoZero"/>
        <c:crossBetween val="between"/>
      </c:valAx>
      <c:spPr>
        <a:noFill/>
        <a:ln w="25400">
          <a:noFill/>
        </a:ln>
        <a:effectLst/>
      </c:spPr>
    </c:plotArea>
    <c:plotVisOnly val="1"/>
    <c:dispBlanksAs val="gap"/>
    <c:showDLblsOverMax val="0"/>
  </c:chart>
  <c:spPr>
    <a:solidFill>
      <a:schemeClr val="accent4">
        <a:lumMod val="60000"/>
        <a:lumOff val="40000"/>
      </a:schemeClr>
    </a:solidFill>
    <a:ln w="9525" cap="flat" cmpd="sng" algn="ctr">
      <a:solidFill>
        <a:schemeClr val="tx1">
          <a:lumMod val="15000"/>
          <a:lumOff val="85000"/>
        </a:schemeClr>
      </a:solidFill>
      <a:round/>
    </a:ln>
    <a:effectLst>
      <a:glow rad="127000">
        <a:schemeClr val="bg1"/>
      </a:glo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Lst>
</c:chartSpace>
</file>

<file path=xl/charts/chart6.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[My excel Final Project (1).xlsx]Sheet1!PivotTable19</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Sales</a:t>
            </a:r>
            <a:r>
              <a:rPr lang="en-US" baseline="0"/>
              <a:t> </a:t>
            </a:r>
            <a:r>
              <a:rPr lang="en-US"/>
              <a:t>Rep</a:t>
            </a:r>
            <a:r>
              <a:rPr lang="en-US" baseline="0"/>
              <a:t> </a:t>
            </a:r>
            <a:r>
              <a:rPr lang="en-US"/>
              <a:t>Performances: Units Sold</a:t>
            </a:r>
            <a:r>
              <a:rPr lang="en-US" baseline="0"/>
              <a:t> </a:t>
            </a:r>
            <a:r>
              <a:rPr lang="en-US"/>
              <a:t>and Unit Price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1"/>
          </a:solidFill>
          <a:ln>
            <a:noFill/>
          </a:ln>
          <a:effectLst/>
        </c:spPr>
        <c:marker>
          <c:symbol val="none"/>
        </c:marker>
      </c:pivotFmt>
      <c:pivotFmt>
        <c:idx val="3"/>
        <c:spPr>
          <a:solidFill>
            <a:schemeClr val="accent1"/>
          </a:solidFill>
          <a:ln>
            <a:noFill/>
          </a:ln>
          <a:effectLst/>
        </c:spPr>
        <c:marker>
          <c:symbol val="none"/>
        </c:marker>
      </c:pivotFmt>
      <c:pivotFmt>
        <c:idx val="4"/>
        <c:spPr>
          <a:solidFill>
            <a:schemeClr val="accent1"/>
          </a:solidFill>
          <a:ln>
            <a:noFill/>
          </a:ln>
          <a:effectLst/>
        </c:spPr>
        <c:marker>
          <c:symbol val="none"/>
        </c:marker>
      </c:pivotFmt>
      <c:pivotFmt>
        <c:idx val="5"/>
        <c:spPr>
          <a:solidFill>
            <a:schemeClr val="accent1"/>
          </a:solidFill>
          <a:ln>
            <a:noFill/>
          </a:ln>
          <a:effectLst/>
        </c:spPr>
        <c:marker>
          <c:symbol val="none"/>
        </c:marker>
      </c:pivotFmt>
    </c:pivotFmts>
    <c:plotArea>
      <c:layout>
        <c:manualLayout>
          <c:layoutTarget val="inner"/>
          <c:xMode val="edge"/>
          <c:yMode val="edge"/>
          <c:x val="0.17627537182852143"/>
          <c:y val="0.21555091446467423"/>
          <c:w val="0.77928018372703411"/>
          <c:h val="0.36025718059353262"/>
        </c:manualLayout>
      </c:layout>
      <c:barChart>
        <c:barDir val="col"/>
        <c:grouping val="clustered"/>
        <c:varyColors val="0"/>
        <c:ser>
          <c:idx val="0"/>
          <c:order val="0"/>
          <c:tx>
            <c:strRef>
              <c:f>Sheet1!$R$20</c:f>
              <c:strCache>
                <c:ptCount val="1"/>
                <c:pt idx="0">
                  <c:v>Sum of Unit Price</c:v>
                </c:pt>
              </c:strCache>
            </c:strRef>
          </c:tx>
          <c:spPr>
            <a:solidFill>
              <a:schemeClr val="accent1"/>
            </a:solidFill>
            <a:ln>
              <a:noFill/>
            </a:ln>
            <a:effectLst/>
          </c:spPr>
          <c:invertIfNegative val="0"/>
          <c:cat>
            <c:multiLvlStrRef>
              <c:f>Sheet1!$Q$21:$Q$55</c:f>
              <c:multiLvlStrCache>
                <c:ptCount val="31"/>
                <c:lvl>
                  <c:pt idx="0">
                    <c:v>Peter Obi</c:v>
                  </c:pt>
                  <c:pt idx="1">
                    <c:v>Grace Amos</c:v>
                  </c:pt>
                  <c:pt idx="2">
                    <c:v>Mary John</c:v>
                  </c:pt>
                  <c:pt idx="3">
                    <c:v>Chinedu Nwosu</c:v>
                  </c:pt>
                  <c:pt idx="4">
                    <c:v>Ifeanyi OKafor</c:v>
                  </c:pt>
                  <c:pt idx="5">
                    <c:v>Fola Balogun</c:v>
                  </c:pt>
                  <c:pt idx="6">
                    <c:v>Job Austin</c:v>
                  </c:pt>
                  <c:pt idx="7">
                    <c:v>Aisha Bello</c:v>
                  </c:pt>
                  <c:pt idx="8">
                    <c:v>Grace Amos</c:v>
                  </c:pt>
                  <c:pt idx="9">
                    <c:v>Aisha Bello</c:v>
                  </c:pt>
                  <c:pt idx="10">
                    <c:v>Chinedu Nwosu</c:v>
                  </c:pt>
                  <c:pt idx="11">
                    <c:v>Mary John</c:v>
                  </c:pt>
                  <c:pt idx="12">
                    <c:v>Fola Balogun</c:v>
                  </c:pt>
                  <c:pt idx="13">
                    <c:v>Ifeanyi OKafor</c:v>
                  </c:pt>
                  <c:pt idx="14">
                    <c:v>Praise Odunayo</c:v>
                  </c:pt>
                  <c:pt idx="15">
                    <c:v>Peter Obi</c:v>
                  </c:pt>
                  <c:pt idx="16">
                    <c:v>Fola Balogun</c:v>
                  </c:pt>
                  <c:pt idx="17">
                    <c:v>Ifeanyi OKafor</c:v>
                  </c:pt>
                  <c:pt idx="18">
                    <c:v>Aisha Bello</c:v>
                  </c:pt>
                  <c:pt idx="19">
                    <c:v>Grace Amos</c:v>
                  </c:pt>
                  <c:pt idx="20">
                    <c:v>Chinedu Nwosu</c:v>
                  </c:pt>
                  <c:pt idx="21">
                    <c:v>Peter Obi</c:v>
                  </c:pt>
                  <c:pt idx="22">
                    <c:v>Mary John</c:v>
                  </c:pt>
                  <c:pt idx="23">
                    <c:v>Chinedu Nwosu</c:v>
                  </c:pt>
                  <c:pt idx="24">
                    <c:v>Aisha Bello</c:v>
                  </c:pt>
                  <c:pt idx="25">
                    <c:v>Peter Obi</c:v>
                  </c:pt>
                  <c:pt idx="26">
                    <c:v>Grace Amos</c:v>
                  </c:pt>
                  <c:pt idx="27">
                    <c:v>Fola Balogun</c:v>
                  </c:pt>
                  <c:pt idx="28">
                    <c:v>Mary John</c:v>
                  </c:pt>
                  <c:pt idx="29">
                    <c:v>Ifeanyi OKafor</c:v>
                  </c:pt>
                  <c:pt idx="30">
                    <c:v>Aba Joel</c:v>
                  </c:pt>
                </c:lvl>
                <c:lvl>
                  <c:pt idx="0">
                    <c:v>East</c:v>
                  </c:pt>
                  <c:pt idx="8">
                    <c:v>North</c:v>
                  </c:pt>
                  <c:pt idx="16">
                    <c:v>South</c:v>
                  </c:pt>
                  <c:pt idx="23">
                    <c:v>West</c:v>
                  </c:pt>
                </c:lvl>
              </c:multiLvlStrCache>
            </c:multiLvlStrRef>
          </c:cat>
          <c:val>
            <c:numRef>
              <c:f>Sheet1!$R$21:$R$55</c:f>
              <c:numCache>
                <c:formatCode>[$₦-46A]#,##0.00</c:formatCode>
                <c:ptCount val="31"/>
                <c:pt idx="0">
                  <c:v>5830000</c:v>
                </c:pt>
                <c:pt idx="1">
                  <c:v>1235000</c:v>
                </c:pt>
                <c:pt idx="2">
                  <c:v>1175000</c:v>
                </c:pt>
                <c:pt idx="3">
                  <c:v>980000</c:v>
                </c:pt>
                <c:pt idx="4">
                  <c:v>835000</c:v>
                </c:pt>
                <c:pt idx="5">
                  <c:v>725000</c:v>
                </c:pt>
                <c:pt idx="6">
                  <c:v>350000</c:v>
                </c:pt>
                <c:pt idx="7">
                  <c:v>85000</c:v>
                </c:pt>
                <c:pt idx="8">
                  <c:v>2835000</c:v>
                </c:pt>
                <c:pt idx="9">
                  <c:v>660000</c:v>
                </c:pt>
                <c:pt idx="10">
                  <c:v>600000</c:v>
                </c:pt>
                <c:pt idx="11">
                  <c:v>475000</c:v>
                </c:pt>
                <c:pt idx="12">
                  <c:v>264233</c:v>
                </c:pt>
                <c:pt idx="13">
                  <c:v>215000</c:v>
                </c:pt>
                <c:pt idx="14">
                  <c:v>150000</c:v>
                </c:pt>
                <c:pt idx="15">
                  <c:v>150000</c:v>
                </c:pt>
                <c:pt idx="16">
                  <c:v>1050000</c:v>
                </c:pt>
                <c:pt idx="17">
                  <c:v>1025000</c:v>
                </c:pt>
                <c:pt idx="18">
                  <c:v>700000</c:v>
                </c:pt>
                <c:pt idx="19">
                  <c:v>575000</c:v>
                </c:pt>
                <c:pt idx="20">
                  <c:v>490000</c:v>
                </c:pt>
                <c:pt idx="21">
                  <c:v>435000</c:v>
                </c:pt>
                <c:pt idx="22">
                  <c:v>215000</c:v>
                </c:pt>
                <c:pt idx="23">
                  <c:v>1590000</c:v>
                </c:pt>
                <c:pt idx="24">
                  <c:v>915000</c:v>
                </c:pt>
                <c:pt idx="25">
                  <c:v>590000</c:v>
                </c:pt>
                <c:pt idx="26">
                  <c:v>305000</c:v>
                </c:pt>
                <c:pt idx="27">
                  <c:v>300000</c:v>
                </c:pt>
                <c:pt idx="28">
                  <c:v>150000</c:v>
                </c:pt>
                <c:pt idx="29">
                  <c:v>85000</c:v>
                </c:pt>
                <c:pt idx="30">
                  <c:v>65000</c:v>
                </c:pt>
              </c:numCache>
            </c:numRef>
          </c:val>
        </c:ser>
        <c:ser>
          <c:idx val="1"/>
          <c:order val="1"/>
          <c:tx>
            <c:strRef>
              <c:f>Sheet1!$S$20</c:f>
              <c:strCache>
                <c:ptCount val="1"/>
                <c:pt idx="0">
                  <c:v>Sum of Units Sold</c:v>
                </c:pt>
              </c:strCache>
            </c:strRef>
          </c:tx>
          <c:spPr>
            <a:solidFill>
              <a:schemeClr val="accent2"/>
            </a:solidFill>
            <a:ln>
              <a:noFill/>
            </a:ln>
            <a:effectLst/>
          </c:spPr>
          <c:invertIfNegative val="0"/>
          <c:cat>
            <c:multiLvlStrRef>
              <c:f>Sheet1!$Q$21:$Q$55</c:f>
              <c:multiLvlStrCache>
                <c:ptCount val="31"/>
                <c:lvl>
                  <c:pt idx="0">
                    <c:v>Peter Obi</c:v>
                  </c:pt>
                  <c:pt idx="1">
                    <c:v>Grace Amos</c:v>
                  </c:pt>
                  <c:pt idx="2">
                    <c:v>Mary John</c:v>
                  </c:pt>
                  <c:pt idx="3">
                    <c:v>Chinedu Nwosu</c:v>
                  </c:pt>
                  <c:pt idx="4">
                    <c:v>Ifeanyi OKafor</c:v>
                  </c:pt>
                  <c:pt idx="5">
                    <c:v>Fola Balogun</c:v>
                  </c:pt>
                  <c:pt idx="6">
                    <c:v>Job Austin</c:v>
                  </c:pt>
                  <c:pt idx="7">
                    <c:v>Aisha Bello</c:v>
                  </c:pt>
                  <c:pt idx="8">
                    <c:v>Grace Amos</c:v>
                  </c:pt>
                  <c:pt idx="9">
                    <c:v>Aisha Bello</c:v>
                  </c:pt>
                  <c:pt idx="10">
                    <c:v>Chinedu Nwosu</c:v>
                  </c:pt>
                  <c:pt idx="11">
                    <c:v>Mary John</c:v>
                  </c:pt>
                  <c:pt idx="12">
                    <c:v>Fola Balogun</c:v>
                  </c:pt>
                  <c:pt idx="13">
                    <c:v>Ifeanyi OKafor</c:v>
                  </c:pt>
                  <c:pt idx="14">
                    <c:v>Praise Odunayo</c:v>
                  </c:pt>
                  <c:pt idx="15">
                    <c:v>Peter Obi</c:v>
                  </c:pt>
                  <c:pt idx="16">
                    <c:v>Fola Balogun</c:v>
                  </c:pt>
                  <c:pt idx="17">
                    <c:v>Ifeanyi OKafor</c:v>
                  </c:pt>
                  <c:pt idx="18">
                    <c:v>Aisha Bello</c:v>
                  </c:pt>
                  <c:pt idx="19">
                    <c:v>Grace Amos</c:v>
                  </c:pt>
                  <c:pt idx="20">
                    <c:v>Chinedu Nwosu</c:v>
                  </c:pt>
                  <c:pt idx="21">
                    <c:v>Peter Obi</c:v>
                  </c:pt>
                  <c:pt idx="22">
                    <c:v>Mary John</c:v>
                  </c:pt>
                  <c:pt idx="23">
                    <c:v>Chinedu Nwosu</c:v>
                  </c:pt>
                  <c:pt idx="24">
                    <c:v>Aisha Bello</c:v>
                  </c:pt>
                  <c:pt idx="25">
                    <c:v>Peter Obi</c:v>
                  </c:pt>
                  <c:pt idx="26">
                    <c:v>Grace Amos</c:v>
                  </c:pt>
                  <c:pt idx="27">
                    <c:v>Fola Balogun</c:v>
                  </c:pt>
                  <c:pt idx="28">
                    <c:v>Mary John</c:v>
                  </c:pt>
                  <c:pt idx="29">
                    <c:v>Ifeanyi OKafor</c:v>
                  </c:pt>
                  <c:pt idx="30">
                    <c:v>Aba Joel</c:v>
                  </c:pt>
                </c:lvl>
                <c:lvl>
                  <c:pt idx="0">
                    <c:v>East</c:v>
                  </c:pt>
                  <c:pt idx="8">
                    <c:v>North</c:v>
                  </c:pt>
                  <c:pt idx="16">
                    <c:v>South</c:v>
                  </c:pt>
                  <c:pt idx="23">
                    <c:v>West</c:v>
                  </c:pt>
                </c:lvl>
              </c:multiLvlStrCache>
            </c:multiLvlStrRef>
          </c:cat>
          <c:val>
            <c:numRef>
              <c:f>Sheet1!$S$21:$S$55</c:f>
              <c:numCache>
                <c:formatCode>General</c:formatCode>
                <c:ptCount val="31"/>
                <c:pt idx="0">
                  <c:v>51</c:v>
                </c:pt>
                <c:pt idx="1">
                  <c:v>49</c:v>
                </c:pt>
                <c:pt idx="2">
                  <c:v>48</c:v>
                </c:pt>
                <c:pt idx="3">
                  <c:v>72</c:v>
                </c:pt>
                <c:pt idx="4">
                  <c:v>47</c:v>
                </c:pt>
                <c:pt idx="5">
                  <c:v>61</c:v>
                </c:pt>
                <c:pt idx="6">
                  <c:v>15</c:v>
                </c:pt>
                <c:pt idx="7">
                  <c:v>7</c:v>
                </c:pt>
                <c:pt idx="8">
                  <c:v>38</c:v>
                </c:pt>
                <c:pt idx="9">
                  <c:v>37</c:v>
                </c:pt>
                <c:pt idx="10">
                  <c:v>25</c:v>
                </c:pt>
                <c:pt idx="11">
                  <c:v>32</c:v>
                </c:pt>
                <c:pt idx="12">
                  <c:v>21</c:v>
                </c:pt>
                <c:pt idx="13">
                  <c:v>26</c:v>
                </c:pt>
                <c:pt idx="14">
                  <c:v>19</c:v>
                </c:pt>
                <c:pt idx="15">
                  <c:v>4</c:v>
                </c:pt>
                <c:pt idx="16">
                  <c:v>87</c:v>
                </c:pt>
                <c:pt idx="17">
                  <c:v>60</c:v>
                </c:pt>
                <c:pt idx="18">
                  <c:v>35</c:v>
                </c:pt>
                <c:pt idx="19">
                  <c:v>50</c:v>
                </c:pt>
                <c:pt idx="20">
                  <c:v>36</c:v>
                </c:pt>
                <c:pt idx="21">
                  <c:v>26</c:v>
                </c:pt>
                <c:pt idx="22">
                  <c:v>14</c:v>
                </c:pt>
                <c:pt idx="23">
                  <c:v>91</c:v>
                </c:pt>
                <c:pt idx="24">
                  <c:v>45</c:v>
                </c:pt>
                <c:pt idx="25">
                  <c:v>40</c:v>
                </c:pt>
                <c:pt idx="26">
                  <c:v>40</c:v>
                </c:pt>
                <c:pt idx="27">
                  <c:v>26</c:v>
                </c:pt>
                <c:pt idx="28">
                  <c:v>11</c:v>
                </c:pt>
                <c:pt idx="29">
                  <c:v>18</c:v>
                </c:pt>
                <c:pt idx="30">
                  <c:v>10</c:v>
                </c:pt>
              </c:numCache>
            </c:numRef>
          </c:val>
        </c:ser>
        <c:dLbls>
          <c:showLegendKey val="0"/>
          <c:showVal val="0"/>
          <c:showCatName val="0"/>
          <c:showSerName val="0"/>
          <c:showPercent val="0"/>
          <c:showBubbleSize val="0"/>
        </c:dLbls>
        <c:gapWidth val="197"/>
        <c:overlap val="-27"/>
        <c:axId val="1206110080"/>
        <c:axId val="1042169584"/>
      </c:barChart>
      <c:catAx>
        <c:axId val="120611008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42169584"/>
        <c:crosses val="autoZero"/>
        <c:auto val="1"/>
        <c:lblAlgn val="ctr"/>
        <c:lblOffset val="100"/>
        <c:noMultiLvlLbl val="0"/>
      </c:catAx>
      <c:valAx>
        <c:axId val="1042169584"/>
        <c:scaling>
          <c:orientation val="minMax"/>
        </c:scaling>
        <c:delete val="0"/>
        <c:axPos val="l"/>
        <c:numFmt formatCode="[$₦-46A]#,##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06110080"/>
        <c:crosses val="autoZero"/>
        <c:crossBetween val="between"/>
      </c:valAx>
      <c:spPr>
        <a:noFill/>
        <a:ln>
          <a:noFill/>
        </a:ln>
        <a:effectLst/>
      </c:spPr>
    </c:plotArea>
    <c:plotVisOnly val="1"/>
    <c:dispBlanksAs val="gap"/>
    <c:showDLblsOverMax val="0"/>
  </c:chart>
  <c:spPr>
    <a:solidFill>
      <a:schemeClr val="accent4">
        <a:lumMod val="60000"/>
        <a:lumOff val="40000"/>
      </a:schemeClr>
    </a:solidFill>
    <a:ln w="9525" cap="flat" cmpd="sng" algn="ctr">
      <a:solidFill>
        <a:schemeClr val="tx1">
          <a:lumMod val="15000"/>
          <a:lumOff val="85000"/>
        </a:schemeClr>
      </a:solidFill>
      <a:round/>
    </a:ln>
    <a:effectLst>
      <a:glow rad="127000">
        <a:schemeClr val="bg1"/>
      </a:glo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Lst>
</c:chartSpace>
</file>

<file path=xl/charts/chart7.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[My excel Final Project (1).xlsx]Pivot table!PivotTable7</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Total</a:t>
            </a:r>
            <a:r>
              <a:rPr lang="en-US" baseline="0"/>
              <a:t> sales by Dates</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1"/>
          </a:solidFill>
          <a:ln>
            <a:noFill/>
          </a:ln>
          <a:effectLst/>
        </c:spPr>
        <c:marker>
          <c:symbol val="none"/>
        </c:marker>
      </c:pivotFmt>
      <c:pivotFmt>
        <c:idx val="3"/>
        <c:spPr>
          <a:solidFill>
            <a:schemeClr val="accent1"/>
          </a:solidFill>
          <a:ln>
            <a:noFill/>
          </a:ln>
          <a:effectLst/>
        </c:spPr>
        <c:marker>
          <c:symbol val="none"/>
        </c:marker>
      </c:pivotFmt>
      <c:pivotFmt>
        <c:idx val="4"/>
        <c:spPr>
          <a:solidFill>
            <a:schemeClr val="accent1"/>
          </a:solidFill>
          <a:ln>
            <a:noFill/>
          </a:ln>
          <a:effectLst/>
        </c:spPr>
        <c:marker>
          <c:symbol val="none"/>
        </c:marker>
      </c:pivotFmt>
    </c:pivotFmts>
    <c:plotArea>
      <c:layout/>
      <c:barChart>
        <c:barDir val="col"/>
        <c:grouping val="stacked"/>
        <c:varyColors val="0"/>
        <c:ser>
          <c:idx val="0"/>
          <c:order val="0"/>
          <c:tx>
            <c:strRef>
              <c:f>'Pivot table'!$H$12</c:f>
              <c:strCache>
                <c:ptCount val="1"/>
                <c:pt idx="0">
                  <c:v>Total</c:v>
                </c:pt>
              </c:strCache>
            </c:strRef>
          </c:tx>
          <c:spPr>
            <a:solidFill>
              <a:schemeClr val="accent1"/>
            </a:solidFill>
            <a:ln>
              <a:noFill/>
            </a:ln>
            <a:effectLst/>
          </c:spPr>
          <c:invertIfNegative val="0"/>
          <c:cat>
            <c:multiLvlStrRef>
              <c:f>'Pivot table'!$G$13:$G$20</c:f>
              <c:multiLvlStrCache>
                <c:ptCount val="6"/>
                <c:lvl>
                  <c:pt idx="0">
                    <c:v>Jan</c:v>
                  </c:pt>
                  <c:pt idx="1">
                    <c:v>Feb</c:v>
                  </c:pt>
                  <c:pt idx="2">
                    <c:v>Mar</c:v>
                  </c:pt>
                  <c:pt idx="3">
                    <c:v>Apr</c:v>
                  </c:pt>
                  <c:pt idx="4">
                    <c:v>May</c:v>
                  </c:pt>
                  <c:pt idx="5">
                    <c:v>Jun</c:v>
                  </c:pt>
                </c:lvl>
                <c:lvl>
                  <c:pt idx="0">
                    <c:v>Qtr1</c:v>
                  </c:pt>
                  <c:pt idx="3">
                    <c:v>Qtr2</c:v>
                  </c:pt>
                </c:lvl>
              </c:multiLvlStrCache>
            </c:multiLvlStrRef>
          </c:cat>
          <c:val>
            <c:numRef>
              <c:f>'Pivot table'!$H$13:$H$20</c:f>
              <c:numCache>
                <c:formatCode>[$₦-46A]#,##0</c:formatCode>
                <c:ptCount val="6"/>
                <c:pt idx="0">
                  <c:v>40134631</c:v>
                </c:pt>
                <c:pt idx="1">
                  <c:v>62360000</c:v>
                </c:pt>
                <c:pt idx="2">
                  <c:v>62275000</c:v>
                </c:pt>
                <c:pt idx="3">
                  <c:v>23415000</c:v>
                </c:pt>
                <c:pt idx="4">
                  <c:v>98915000</c:v>
                </c:pt>
                <c:pt idx="5">
                  <c:v>36635000</c:v>
                </c:pt>
              </c:numCache>
            </c:numRef>
          </c:val>
        </c:ser>
        <c:dLbls>
          <c:showLegendKey val="0"/>
          <c:showVal val="0"/>
          <c:showCatName val="0"/>
          <c:showSerName val="0"/>
          <c:showPercent val="0"/>
          <c:showBubbleSize val="0"/>
        </c:dLbls>
        <c:gapWidth val="150"/>
        <c:overlap val="100"/>
        <c:axId val="1042165232"/>
        <c:axId val="1042165776"/>
      </c:barChart>
      <c:catAx>
        <c:axId val="104216523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42165776"/>
        <c:crosses val="autoZero"/>
        <c:auto val="1"/>
        <c:lblAlgn val="ctr"/>
        <c:lblOffset val="100"/>
        <c:noMultiLvlLbl val="0"/>
      </c:catAx>
      <c:valAx>
        <c:axId val="1042165776"/>
        <c:scaling>
          <c:orientation val="minMax"/>
        </c:scaling>
        <c:delete val="0"/>
        <c:axPos val="l"/>
        <c:numFmt formatCode="[$₦-46A]#,##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42165232"/>
        <c:crosses val="autoZero"/>
        <c:crossBetween val="between"/>
      </c:valAx>
      <c:spPr>
        <a:noFill/>
        <a:ln w="25400">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accent4">
        <a:lumMod val="60000"/>
        <a:lumOff val="40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8.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[My excel Final Project (1).xlsx]Sheet1!PivotTable2</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5400">
            <a:solidFill>
              <a:schemeClr val="lt1"/>
            </a:solidFill>
          </a:ln>
          <a:effectLst/>
          <a:sp3d contourW="25400">
            <a:contourClr>
              <a:schemeClr val="lt1"/>
            </a:contourClr>
          </a:sp3d>
        </c:spPr>
        <c:marker>
          <c:symbol val="none"/>
        </c:marker>
      </c:pivotFmt>
      <c:pivotFmt>
        <c:idx val="1"/>
        <c:spPr>
          <a:solidFill>
            <a:schemeClr val="accent1"/>
          </a:solidFill>
          <a:ln w="25400">
            <a:solidFill>
              <a:schemeClr val="lt1"/>
            </a:solidFill>
          </a:ln>
          <a:effectLst/>
          <a:sp3d contourW="25400">
            <a:contourClr>
              <a:schemeClr val="lt1"/>
            </a:contourClr>
          </a:sp3d>
        </c:spPr>
      </c:pivotFmt>
      <c:pivotFmt>
        <c:idx val="2"/>
        <c:spPr>
          <a:solidFill>
            <a:schemeClr val="accent1"/>
          </a:solidFill>
          <a:ln w="25400">
            <a:solidFill>
              <a:schemeClr val="lt1"/>
            </a:solidFill>
          </a:ln>
          <a:effectLst/>
          <a:sp3d contourW="25400">
            <a:contourClr>
              <a:schemeClr val="lt1"/>
            </a:contourClr>
          </a:sp3d>
        </c:spPr>
      </c:pivotFmt>
      <c:pivotFmt>
        <c:idx val="3"/>
        <c:spPr>
          <a:solidFill>
            <a:schemeClr val="accent1"/>
          </a:solidFill>
          <a:ln w="25400">
            <a:solidFill>
              <a:schemeClr val="lt1"/>
            </a:solidFill>
          </a:ln>
          <a:effectLst/>
          <a:sp3d contourW="25400">
            <a:contourClr>
              <a:schemeClr val="lt1"/>
            </a:contourClr>
          </a:sp3d>
        </c:spPr>
      </c:pivotFmt>
      <c:pivotFmt>
        <c:idx val="4"/>
        <c:spPr>
          <a:solidFill>
            <a:schemeClr val="accent1"/>
          </a:solidFill>
          <a:ln w="25400">
            <a:solidFill>
              <a:schemeClr val="lt1"/>
            </a:solidFill>
          </a:ln>
          <a:effectLst/>
          <a:sp3d contourW="25400">
            <a:contourClr>
              <a:schemeClr val="lt1"/>
            </a:contourClr>
          </a:sp3d>
        </c:spPr>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Sheet1!$E$3</c:f>
              <c:strCache>
                <c:ptCount val="1"/>
                <c:pt idx="0">
                  <c:v>Total</c:v>
                </c:pt>
              </c:strCache>
            </c:strRef>
          </c:tx>
          <c:dPt>
            <c:idx val="0"/>
            <c:bubble3D val="0"/>
            <c:spPr>
              <a:solidFill>
                <a:schemeClr val="accent1"/>
              </a:solidFill>
              <a:ln w="25400">
                <a:solidFill>
                  <a:schemeClr val="lt1"/>
                </a:solidFill>
              </a:ln>
              <a:effectLst/>
              <a:sp3d contourW="25400">
                <a:contourClr>
                  <a:schemeClr val="lt1"/>
                </a:contourClr>
              </a:sp3d>
            </c:spPr>
          </c:dPt>
          <c:dPt>
            <c:idx val="1"/>
            <c:bubble3D val="0"/>
            <c:spPr>
              <a:solidFill>
                <a:schemeClr val="accent2"/>
              </a:solidFill>
              <a:ln w="25400">
                <a:solidFill>
                  <a:schemeClr val="lt1"/>
                </a:solidFill>
              </a:ln>
              <a:effectLst/>
              <a:sp3d contourW="25400">
                <a:contourClr>
                  <a:schemeClr val="lt1"/>
                </a:contourClr>
              </a:sp3d>
            </c:spPr>
          </c:dPt>
          <c:dPt>
            <c:idx val="2"/>
            <c:bubble3D val="0"/>
            <c:spPr>
              <a:solidFill>
                <a:schemeClr val="accent3"/>
              </a:solidFill>
              <a:ln w="25400">
                <a:solidFill>
                  <a:schemeClr val="lt1"/>
                </a:solidFill>
              </a:ln>
              <a:effectLst/>
              <a:sp3d contourW="25400">
                <a:contourClr>
                  <a:schemeClr val="lt1"/>
                </a:contourClr>
              </a:sp3d>
            </c:spPr>
          </c:dPt>
          <c:dPt>
            <c:idx val="3"/>
            <c:bubble3D val="0"/>
            <c:spPr>
              <a:solidFill>
                <a:schemeClr val="accent4"/>
              </a:solidFill>
              <a:ln w="25400">
                <a:solidFill>
                  <a:schemeClr val="lt1"/>
                </a:solidFill>
              </a:ln>
              <a:effectLst/>
              <a:sp3d contourW="25400">
                <a:contourClr>
                  <a:schemeClr val="lt1"/>
                </a:contourClr>
              </a:sp3d>
            </c:spPr>
          </c:dPt>
          <c:cat>
            <c:strRef>
              <c:f>Sheet1!$D$4:$D$7</c:f>
              <c:strCache>
                <c:ptCount val="4"/>
                <c:pt idx="0">
                  <c:v>East</c:v>
                </c:pt>
                <c:pt idx="1">
                  <c:v>North</c:v>
                </c:pt>
                <c:pt idx="2">
                  <c:v>South</c:v>
                </c:pt>
                <c:pt idx="3">
                  <c:v>West</c:v>
                </c:pt>
              </c:strCache>
            </c:strRef>
          </c:cat>
          <c:val>
            <c:numRef>
              <c:f>Sheet1!$E$4:$E$7</c:f>
              <c:numCache>
                <c:formatCode>[$₦-46A]#,##0</c:formatCode>
                <c:ptCount val="4"/>
                <c:pt idx="0">
                  <c:v>136005000</c:v>
                </c:pt>
                <c:pt idx="1">
                  <c:v>82604631</c:v>
                </c:pt>
                <c:pt idx="2">
                  <c:v>56695000</c:v>
                </c:pt>
                <c:pt idx="3">
                  <c:v>48430000</c:v>
                </c:pt>
              </c:numCache>
            </c:numRef>
          </c:val>
        </c:ser>
        <c:dLbls>
          <c:showLegendKey val="0"/>
          <c:showVal val="0"/>
          <c:showCatName val="0"/>
          <c:showSerName val="0"/>
          <c:showPercent val="0"/>
          <c:showBubbleSize val="0"/>
          <c:showLeaderLines val="1"/>
        </c:dLbls>
      </c:pie3D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Lst>
</c:chartSpace>
</file>

<file path=xl/charts/chart9.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[My excel Final Project (1).xlsx]Sheet1!PivotTable3</c:name>
    <c:fmtId val="0"/>
  </c:pivotSource>
  <c:chart>
    <c:autoTitleDeleted val="1"/>
    <c:pivotFmts>
      <c:pivotFmt>
        <c:idx val="0"/>
        <c:spPr>
          <a:solidFill>
            <a:schemeClr val="accent1"/>
          </a:solidFill>
          <a:ln>
            <a:noFill/>
          </a:ln>
          <a:effectLst/>
        </c:spPr>
        <c:marker>
          <c:symbol val="none"/>
        </c:marker>
      </c:pivotFmt>
    </c:pivotFmts>
    <c:plotArea>
      <c:layout>
        <c:manualLayout>
          <c:layoutTarget val="inner"/>
          <c:xMode val="edge"/>
          <c:yMode val="edge"/>
          <c:x val="0.15049777601410871"/>
          <c:y val="0.14607176428936594"/>
          <c:w val="0.81615837615085973"/>
          <c:h val="0.67132344246551456"/>
        </c:manualLayout>
      </c:layout>
      <c:barChart>
        <c:barDir val="col"/>
        <c:grouping val="clustered"/>
        <c:varyColors val="0"/>
        <c:ser>
          <c:idx val="0"/>
          <c:order val="0"/>
          <c:tx>
            <c:strRef>
              <c:f>Sheet1!$H$3</c:f>
              <c:strCache>
                <c:ptCount val="1"/>
                <c:pt idx="0">
                  <c:v>Total</c:v>
                </c:pt>
              </c:strCache>
            </c:strRef>
          </c:tx>
          <c:spPr>
            <a:solidFill>
              <a:schemeClr val="accent1"/>
            </a:solidFill>
            <a:ln>
              <a:noFill/>
            </a:ln>
            <a:effectLst/>
          </c:spPr>
          <c:invertIfNegative val="0"/>
          <c:cat>
            <c:strRef>
              <c:f>Sheet1!$G$4:$G$9</c:f>
              <c:strCache>
                <c:ptCount val="6"/>
                <c:pt idx="0">
                  <c:v>Audio</c:v>
                </c:pt>
                <c:pt idx="1">
                  <c:v>Computers</c:v>
                </c:pt>
                <c:pt idx="2">
                  <c:v>Electronics</c:v>
                </c:pt>
                <c:pt idx="3">
                  <c:v>Mobile</c:v>
                </c:pt>
                <c:pt idx="4">
                  <c:v>Peripherals</c:v>
                </c:pt>
                <c:pt idx="5">
                  <c:v>Photography</c:v>
                </c:pt>
              </c:strCache>
            </c:strRef>
          </c:cat>
          <c:val>
            <c:numRef>
              <c:f>Sheet1!$H$4:$H$9</c:f>
              <c:numCache>
                <c:formatCode>[$₦-46A]#,##0</c:formatCode>
                <c:ptCount val="6"/>
                <c:pt idx="0">
                  <c:v>8954631</c:v>
                </c:pt>
                <c:pt idx="1">
                  <c:v>155750000</c:v>
                </c:pt>
                <c:pt idx="2">
                  <c:v>75250000</c:v>
                </c:pt>
                <c:pt idx="3">
                  <c:v>46620000</c:v>
                </c:pt>
                <c:pt idx="4">
                  <c:v>11610000</c:v>
                </c:pt>
                <c:pt idx="5">
                  <c:v>25550000</c:v>
                </c:pt>
              </c:numCache>
            </c:numRef>
          </c:val>
        </c:ser>
        <c:dLbls>
          <c:showLegendKey val="0"/>
          <c:showVal val="0"/>
          <c:showCatName val="0"/>
          <c:showSerName val="0"/>
          <c:showPercent val="0"/>
          <c:showBubbleSize val="0"/>
        </c:dLbls>
        <c:gapWidth val="219"/>
        <c:overlap val="-27"/>
        <c:axId val="1210843264"/>
        <c:axId val="1210852512"/>
      </c:barChart>
      <c:catAx>
        <c:axId val="1210843264"/>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10852512"/>
        <c:crosses val="autoZero"/>
        <c:auto val="1"/>
        <c:lblAlgn val="ctr"/>
        <c:lblOffset val="100"/>
        <c:noMultiLvlLbl val="0"/>
      </c:catAx>
      <c:valAx>
        <c:axId val="1210852512"/>
        <c:scaling>
          <c:orientation val="minMax"/>
        </c:scaling>
        <c:delete val="0"/>
        <c:axPos val="l"/>
        <c:numFmt formatCode="[$₦-46A]#,##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10843264"/>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Lst>
</c:chartSpace>
</file>

<file path=xl/charts/chart10.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[My excel Final Project (1).xlsx]Sheet1!PivotTable4</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s>
    <c:plotArea>
      <c:layout/>
      <c:barChart>
        <c:barDir val="bar"/>
        <c:grouping val="clustered"/>
        <c:varyColors val="0"/>
        <c:ser>
          <c:idx val="0"/>
          <c:order val="0"/>
          <c:tx>
            <c:strRef>
              <c:f>Sheet1!$K$3</c:f>
              <c:strCache>
                <c:ptCount val="1"/>
                <c:pt idx="0">
                  <c:v>Total</c:v>
                </c:pt>
              </c:strCache>
            </c:strRef>
          </c:tx>
          <c:spPr>
            <a:solidFill>
              <a:schemeClr val="accent1"/>
            </a:solidFill>
            <a:ln>
              <a:noFill/>
            </a:ln>
            <a:effectLst/>
          </c:spPr>
          <c:invertIfNegative val="0"/>
          <c:cat>
            <c:strRef>
              <c:f>Sheet1!$J$4:$J$10</c:f>
              <c:strCache>
                <c:ptCount val="7"/>
                <c:pt idx="0">
                  <c:v>Phone X12</c:v>
                </c:pt>
                <c:pt idx="1">
                  <c:v>Speaker S10</c:v>
                </c:pt>
                <c:pt idx="2">
                  <c:v>Laptop A15</c:v>
                </c:pt>
                <c:pt idx="3">
                  <c:v>Tablet T8</c:v>
                </c:pt>
                <c:pt idx="4">
                  <c:v>Camera C100</c:v>
                </c:pt>
                <c:pt idx="5">
                  <c:v>Tv 43Q</c:v>
                </c:pt>
                <c:pt idx="6">
                  <c:v>Monitor M24</c:v>
                </c:pt>
              </c:strCache>
            </c:strRef>
          </c:cat>
          <c:val>
            <c:numRef>
              <c:f>Sheet1!$K$4:$K$10</c:f>
              <c:numCache>
                <c:formatCode>[$₦-46A]#,##0</c:formatCode>
                <c:ptCount val="7"/>
                <c:pt idx="0">
                  <c:v>123599631</c:v>
                </c:pt>
                <c:pt idx="1">
                  <c:v>47800000</c:v>
                </c:pt>
                <c:pt idx="2">
                  <c:v>42870000</c:v>
                </c:pt>
                <c:pt idx="3">
                  <c:v>34400000</c:v>
                </c:pt>
                <c:pt idx="4">
                  <c:v>26940000</c:v>
                </c:pt>
                <c:pt idx="5">
                  <c:v>26475000</c:v>
                </c:pt>
                <c:pt idx="6">
                  <c:v>21650000</c:v>
                </c:pt>
              </c:numCache>
            </c:numRef>
          </c:val>
        </c:ser>
        <c:dLbls>
          <c:showLegendKey val="0"/>
          <c:showVal val="0"/>
          <c:showCatName val="0"/>
          <c:showSerName val="0"/>
          <c:showPercent val="0"/>
          <c:showBubbleSize val="0"/>
        </c:dLbls>
        <c:gapWidth val="182"/>
        <c:axId val="1210843808"/>
        <c:axId val="1210849248"/>
      </c:barChart>
      <c:catAx>
        <c:axId val="121084380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10849248"/>
        <c:crosses val="autoZero"/>
        <c:auto val="1"/>
        <c:lblAlgn val="ctr"/>
        <c:lblOffset val="100"/>
        <c:noMultiLvlLbl val="0"/>
      </c:catAx>
      <c:valAx>
        <c:axId val="1210849248"/>
        <c:scaling>
          <c:orientation val="minMax"/>
        </c:scaling>
        <c:delete val="0"/>
        <c:axPos val="b"/>
        <c:numFmt formatCode="[$₦-46A]#,##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1084380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Lst>
</c:chartSpace>
</file>

<file path=xl/charts/chart11.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[My excel Final Project (1).xlsx]Sheet1!PivotTable15</c:name>
    <c:fmtId val="3"/>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pivotFmt>
    </c:pivotFmts>
    <c:plotArea>
      <c:layout/>
      <c:lineChart>
        <c:grouping val="standard"/>
        <c:varyColors val="0"/>
        <c:ser>
          <c:idx val="0"/>
          <c:order val="0"/>
          <c:tx>
            <c:strRef>
              <c:f>Sheet1!$I$33</c:f>
              <c:strCache>
                <c:ptCount val="1"/>
                <c:pt idx="0">
                  <c:v>Total</c:v>
                </c:pt>
              </c:strCache>
            </c:strRef>
          </c:tx>
          <c:spPr>
            <a:ln w="28575" cap="rnd">
              <a:solidFill>
                <a:schemeClr val="accent1"/>
              </a:solidFill>
              <a:round/>
            </a:ln>
            <a:effectLst/>
          </c:spPr>
          <c:marker>
            <c:symbol val="none"/>
          </c:marker>
          <c:cat>
            <c:strRef>
              <c:f>Sheet1!$H$34:$H$38</c:f>
              <c:strCache>
                <c:ptCount val="5"/>
                <c:pt idx="0">
                  <c:v>Kelvin Tech</c:v>
                </c:pt>
                <c:pt idx="1">
                  <c:v>Tola Ventures</c:v>
                </c:pt>
                <c:pt idx="2">
                  <c:v>Zainab Global</c:v>
                </c:pt>
                <c:pt idx="3">
                  <c:v>Musa Enterprises</c:v>
                </c:pt>
                <c:pt idx="4">
                  <c:v>Femi Tech</c:v>
                </c:pt>
              </c:strCache>
            </c:strRef>
          </c:cat>
          <c:val>
            <c:numRef>
              <c:f>Sheet1!$I$34:$I$38</c:f>
              <c:numCache>
                <c:formatCode>[$₦-46A]#,##0</c:formatCode>
                <c:ptCount val="5"/>
                <c:pt idx="0">
                  <c:v>3735000</c:v>
                </c:pt>
                <c:pt idx="1">
                  <c:v>3285000</c:v>
                </c:pt>
                <c:pt idx="2">
                  <c:v>3005000</c:v>
                </c:pt>
                <c:pt idx="3">
                  <c:v>2610000</c:v>
                </c:pt>
                <c:pt idx="4">
                  <c:v>2225000</c:v>
                </c:pt>
              </c:numCache>
            </c:numRef>
          </c:val>
          <c:smooth val="0"/>
        </c:ser>
        <c:dLbls>
          <c:showLegendKey val="0"/>
          <c:showVal val="0"/>
          <c:showCatName val="0"/>
          <c:showSerName val="0"/>
          <c:showPercent val="0"/>
          <c:showBubbleSize val="0"/>
        </c:dLbls>
        <c:smooth val="0"/>
        <c:axId val="1210853600"/>
        <c:axId val="1210844352"/>
      </c:lineChart>
      <c:catAx>
        <c:axId val="121085360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10844352"/>
        <c:crosses val="autoZero"/>
        <c:auto val="1"/>
        <c:lblAlgn val="ctr"/>
        <c:lblOffset val="100"/>
        <c:noMultiLvlLbl val="0"/>
      </c:catAx>
      <c:valAx>
        <c:axId val="1210844352"/>
        <c:scaling>
          <c:orientation val="minMax"/>
        </c:scaling>
        <c:delete val="0"/>
        <c:axPos val="l"/>
        <c:majorGridlines>
          <c:spPr>
            <a:ln w="9525" cap="flat" cmpd="sng" algn="ctr">
              <a:solidFill>
                <a:schemeClr val="tx1">
                  <a:lumMod val="15000"/>
                  <a:lumOff val="85000"/>
                </a:schemeClr>
              </a:solidFill>
              <a:round/>
            </a:ln>
            <a:effectLst/>
          </c:spPr>
        </c:majorGridlines>
        <c:numFmt formatCode="[$₦-46A]#,##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1085360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Lst>
</c:chartSpace>
</file>

<file path=xl/charts/chart12.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[My excel Final Project (1).xlsx]Pivot table!PivotTable5</c:name>
    <c:fmtId val="2"/>
  </c:pivotSource>
  <c:chart>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1"/>
          </a:solidFill>
          <a:ln>
            <a:noFill/>
          </a:ln>
          <a:effectLst/>
        </c:spPr>
        <c:marker>
          <c:symbol val="none"/>
        </c:marker>
      </c:pivotFmt>
      <c:pivotFmt>
        <c:idx val="3"/>
        <c:spPr>
          <a:solidFill>
            <a:schemeClr val="accent1"/>
          </a:solidFill>
          <a:ln>
            <a:noFill/>
          </a:ln>
          <a:effectLst/>
        </c:spPr>
        <c:marker>
          <c:symbol val="none"/>
        </c:marker>
      </c:pivotFmt>
      <c:pivotFmt>
        <c:idx val="4"/>
        <c:spPr>
          <a:solidFill>
            <a:schemeClr val="accent1"/>
          </a:solidFill>
          <a:ln>
            <a:noFill/>
          </a:ln>
          <a:effectLst/>
        </c:spPr>
        <c:marker>
          <c:symbol val="none"/>
        </c:marker>
      </c:pivotFmt>
      <c:pivotFmt>
        <c:idx val="5"/>
        <c:spPr>
          <a:solidFill>
            <a:schemeClr val="accent1"/>
          </a:solidFill>
          <a:ln>
            <a:noFill/>
          </a:ln>
          <a:effectLst/>
        </c:spPr>
        <c:marker>
          <c:symbol val="none"/>
        </c:marker>
      </c:pivotFmt>
      <c:pivotFmt>
        <c:idx val="6"/>
        <c:spPr>
          <a:solidFill>
            <a:schemeClr val="accent1"/>
          </a:solidFill>
          <a:ln>
            <a:noFill/>
          </a:ln>
          <a:effectLst/>
        </c:spPr>
        <c:marker>
          <c:symbol val="none"/>
        </c:marker>
      </c:pivotFmt>
      <c:pivotFmt>
        <c:idx val="7"/>
        <c:spPr>
          <a:solidFill>
            <a:schemeClr val="accent1"/>
          </a:solidFill>
          <a:ln>
            <a:noFill/>
          </a:ln>
          <a:effectLst/>
        </c:spPr>
        <c:marker>
          <c:symbol val="none"/>
        </c:marker>
      </c:pivotFmt>
      <c:pivotFmt>
        <c:idx val="8"/>
        <c:spPr>
          <a:solidFill>
            <a:schemeClr val="accent1"/>
          </a:solidFill>
          <a:ln>
            <a:noFill/>
          </a:ln>
          <a:effectLst/>
        </c:spPr>
        <c:marker>
          <c:symbol val="none"/>
        </c:marker>
      </c:pivotFmt>
      <c:pivotFmt>
        <c:idx val="9"/>
        <c:spPr>
          <a:solidFill>
            <a:schemeClr val="accent1"/>
          </a:solidFill>
          <a:ln>
            <a:noFill/>
          </a:ln>
          <a:effectLst/>
        </c:spPr>
        <c:marker>
          <c:symbol val="none"/>
        </c:marker>
      </c:pivotFmt>
      <c:pivotFmt>
        <c:idx val="10"/>
        <c:spPr>
          <a:solidFill>
            <a:schemeClr val="accent1"/>
          </a:solidFill>
          <a:ln>
            <a:noFill/>
          </a:ln>
          <a:effectLst/>
        </c:spPr>
        <c:marker>
          <c:symbol val="none"/>
        </c:marker>
      </c:pivotFmt>
      <c:pivotFmt>
        <c:idx val="11"/>
        <c:spPr>
          <a:solidFill>
            <a:schemeClr val="accent1"/>
          </a:solidFill>
          <a:ln>
            <a:noFill/>
          </a:ln>
          <a:effectLst/>
        </c:spPr>
        <c:marker>
          <c:symbol val="none"/>
        </c:marker>
      </c:pivotFmt>
      <c:pivotFmt>
        <c:idx val="12"/>
        <c:spPr>
          <a:solidFill>
            <a:schemeClr val="accent1"/>
          </a:solidFill>
          <a:ln>
            <a:noFill/>
          </a:ln>
          <a:effectLst/>
        </c:spPr>
        <c:marker>
          <c:symbol val="none"/>
        </c:marker>
      </c:pivotFmt>
      <c:pivotFmt>
        <c:idx val="13"/>
        <c:spPr>
          <a:solidFill>
            <a:schemeClr val="accent1"/>
          </a:solidFill>
          <a:ln>
            <a:noFill/>
          </a:ln>
          <a:effectLst/>
        </c:spPr>
        <c:marker>
          <c:symbol val="none"/>
        </c:marker>
      </c:pivotFmt>
      <c:pivotFmt>
        <c:idx val="14"/>
        <c:spPr>
          <a:solidFill>
            <a:schemeClr val="accent1"/>
          </a:solidFill>
          <a:ln>
            <a:noFill/>
          </a:ln>
          <a:effectLst/>
        </c:spPr>
        <c:marker>
          <c:symbol val="none"/>
        </c:marker>
      </c:pivotFmt>
      <c:pivotFmt>
        <c:idx val="15"/>
        <c:spPr>
          <a:solidFill>
            <a:schemeClr val="accent1"/>
          </a:solidFill>
          <a:ln>
            <a:noFill/>
          </a:ln>
          <a:effectLst/>
        </c:spPr>
        <c:marker>
          <c:symbol val="none"/>
        </c:marker>
      </c:pivotFmt>
      <c:pivotFmt>
        <c:idx val="16"/>
        <c:spPr>
          <a:solidFill>
            <a:schemeClr val="accent1"/>
          </a:solidFill>
          <a:ln>
            <a:noFill/>
          </a:ln>
          <a:effectLst/>
        </c:spPr>
        <c:marker>
          <c:symbol val="none"/>
        </c:marker>
      </c:pivotFmt>
      <c:pivotFmt>
        <c:idx val="17"/>
        <c:spPr>
          <a:solidFill>
            <a:schemeClr val="accent1"/>
          </a:solidFill>
          <a:ln>
            <a:noFill/>
          </a:ln>
          <a:effectLst/>
        </c:spPr>
        <c:marker>
          <c:symbol val="none"/>
        </c:marker>
      </c:pivotFmt>
      <c:pivotFmt>
        <c:idx val="18"/>
        <c:spPr>
          <a:solidFill>
            <a:schemeClr val="accent1"/>
          </a:solidFill>
          <a:ln>
            <a:noFill/>
          </a:ln>
          <a:effectLst/>
        </c:spPr>
        <c:marker>
          <c:symbol val="none"/>
        </c:marker>
      </c:pivotFmt>
      <c:pivotFmt>
        <c:idx val="19"/>
        <c:spPr>
          <a:solidFill>
            <a:schemeClr val="accent1"/>
          </a:solidFill>
          <a:ln>
            <a:noFill/>
          </a:ln>
          <a:effectLst/>
        </c:spPr>
        <c:marker>
          <c:symbol val="none"/>
        </c:marker>
      </c:pivotFmt>
      <c:pivotFmt>
        <c:idx val="20"/>
        <c:spPr>
          <a:solidFill>
            <a:schemeClr val="accent1"/>
          </a:solidFill>
          <a:ln>
            <a:noFill/>
          </a:ln>
          <a:effectLst/>
        </c:spPr>
        <c:marker>
          <c:symbol val="none"/>
        </c:marker>
      </c:pivotFmt>
      <c:pivotFmt>
        <c:idx val="21"/>
        <c:spPr>
          <a:solidFill>
            <a:schemeClr val="accent1"/>
          </a:solidFill>
          <a:ln>
            <a:noFill/>
          </a:ln>
          <a:effectLst/>
        </c:spPr>
        <c:marker>
          <c:symbol val="none"/>
        </c:marker>
      </c:pivotFmt>
    </c:pivotFmts>
    <c:plotArea>
      <c:layout>
        <c:manualLayout>
          <c:layoutTarget val="inner"/>
          <c:xMode val="edge"/>
          <c:yMode val="edge"/>
          <c:x val="0.17094386997283484"/>
          <c:y val="0.18416447944007"/>
          <c:w val="0.78747143318452395"/>
          <c:h val="0.65853091280256637"/>
        </c:manualLayout>
      </c:layout>
      <c:barChart>
        <c:barDir val="col"/>
        <c:grouping val="clustered"/>
        <c:varyColors val="0"/>
        <c:ser>
          <c:idx val="0"/>
          <c:order val="0"/>
          <c:tx>
            <c:strRef>
              <c:f>'Pivot table'!$K$12:$K$13</c:f>
              <c:strCache>
                <c:ptCount val="1"/>
                <c:pt idx="0">
                  <c:v>Camera C100</c:v>
                </c:pt>
              </c:strCache>
            </c:strRef>
          </c:tx>
          <c:spPr>
            <a:solidFill>
              <a:schemeClr val="accent1"/>
            </a:solidFill>
            <a:ln>
              <a:noFill/>
            </a:ln>
            <a:effectLst/>
          </c:spPr>
          <c:invertIfNegative val="0"/>
          <c:cat>
            <c:strRef>
              <c:f>'Pivot table'!$J$14:$J$17</c:f>
              <c:strCache>
                <c:ptCount val="4"/>
                <c:pt idx="0">
                  <c:v>East</c:v>
                </c:pt>
                <c:pt idx="1">
                  <c:v>North</c:v>
                </c:pt>
                <c:pt idx="2">
                  <c:v>South</c:v>
                </c:pt>
                <c:pt idx="3">
                  <c:v>West</c:v>
                </c:pt>
              </c:strCache>
            </c:strRef>
          </c:cat>
          <c:val>
            <c:numRef>
              <c:f>'Pivot table'!$K$14:$K$17</c:f>
              <c:numCache>
                <c:formatCode>[$₦-46A]#,##0</c:formatCode>
                <c:ptCount val="4"/>
                <c:pt idx="0">
                  <c:v>21905000</c:v>
                </c:pt>
                <c:pt idx="1">
                  <c:v>2280000</c:v>
                </c:pt>
                <c:pt idx="2">
                  <c:v>1105000</c:v>
                </c:pt>
                <c:pt idx="3">
                  <c:v>1650000</c:v>
                </c:pt>
              </c:numCache>
            </c:numRef>
          </c:val>
        </c:ser>
        <c:ser>
          <c:idx val="1"/>
          <c:order val="1"/>
          <c:tx>
            <c:strRef>
              <c:f>'Pivot table'!$L$12:$L$13</c:f>
              <c:strCache>
                <c:ptCount val="1"/>
                <c:pt idx="0">
                  <c:v>Laptop A15</c:v>
                </c:pt>
              </c:strCache>
            </c:strRef>
          </c:tx>
          <c:spPr>
            <a:solidFill>
              <a:schemeClr val="accent2"/>
            </a:solidFill>
            <a:ln>
              <a:noFill/>
            </a:ln>
            <a:effectLst/>
          </c:spPr>
          <c:invertIfNegative val="0"/>
          <c:cat>
            <c:strRef>
              <c:f>'Pivot table'!$J$14:$J$17</c:f>
              <c:strCache>
                <c:ptCount val="4"/>
                <c:pt idx="0">
                  <c:v>East</c:v>
                </c:pt>
                <c:pt idx="1">
                  <c:v>North</c:v>
                </c:pt>
                <c:pt idx="2">
                  <c:v>South</c:v>
                </c:pt>
                <c:pt idx="3">
                  <c:v>West</c:v>
                </c:pt>
              </c:strCache>
            </c:strRef>
          </c:cat>
          <c:val>
            <c:numRef>
              <c:f>'Pivot table'!$L$14:$L$17</c:f>
              <c:numCache>
                <c:formatCode>[$₦-46A]#,##0</c:formatCode>
                <c:ptCount val="4"/>
                <c:pt idx="0">
                  <c:v>10200000</c:v>
                </c:pt>
                <c:pt idx="1">
                  <c:v>8250000</c:v>
                </c:pt>
                <c:pt idx="2">
                  <c:v>15800000</c:v>
                </c:pt>
                <c:pt idx="3">
                  <c:v>8620000</c:v>
                </c:pt>
              </c:numCache>
            </c:numRef>
          </c:val>
        </c:ser>
        <c:ser>
          <c:idx val="2"/>
          <c:order val="2"/>
          <c:tx>
            <c:strRef>
              <c:f>'Pivot table'!$M$12:$M$13</c:f>
              <c:strCache>
                <c:ptCount val="1"/>
                <c:pt idx="0">
                  <c:v>Monitor M24</c:v>
                </c:pt>
              </c:strCache>
            </c:strRef>
          </c:tx>
          <c:spPr>
            <a:solidFill>
              <a:schemeClr val="accent3"/>
            </a:solidFill>
            <a:ln>
              <a:noFill/>
            </a:ln>
            <a:effectLst/>
          </c:spPr>
          <c:invertIfNegative val="0"/>
          <c:cat>
            <c:strRef>
              <c:f>'Pivot table'!$J$14:$J$17</c:f>
              <c:strCache>
                <c:ptCount val="4"/>
                <c:pt idx="0">
                  <c:v>East</c:v>
                </c:pt>
                <c:pt idx="1">
                  <c:v>North</c:v>
                </c:pt>
                <c:pt idx="2">
                  <c:v>South</c:v>
                </c:pt>
                <c:pt idx="3">
                  <c:v>West</c:v>
                </c:pt>
              </c:strCache>
            </c:strRef>
          </c:cat>
          <c:val>
            <c:numRef>
              <c:f>'Pivot table'!$M$14:$M$17</c:f>
              <c:numCache>
                <c:formatCode>[$₦-46A]#,##0</c:formatCode>
                <c:ptCount val="4"/>
                <c:pt idx="0">
                  <c:v>4010000</c:v>
                </c:pt>
                <c:pt idx="1">
                  <c:v>2850000</c:v>
                </c:pt>
                <c:pt idx="2">
                  <c:v>6455000</c:v>
                </c:pt>
                <c:pt idx="3">
                  <c:v>8335000</c:v>
                </c:pt>
              </c:numCache>
            </c:numRef>
          </c:val>
        </c:ser>
        <c:ser>
          <c:idx val="3"/>
          <c:order val="3"/>
          <c:tx>
            <c:strRef>
              <c:f>'Pivot table'!$N$12:$N$13</c:f>
              <c:strCache>
                <c:ptCount val="1"/>
                <c:pt idx="0">
                  <c:v>Phone X12</c:v>
                </c:pt>
              </c:strCache>
            </c:strRef>
          </c:tx>
          <c:spPr>
            <a:solidFill>
              <a:schemeClr val="accent4"/>
            </a:solidFill>
            <a:ln>
              <a:noFill/>
            </a:ln>
            <a:effectLst/>
          </c:spPr>
          <c:invertIfNegative val="0"/>
          <c:cat>
            <c:strRef>
              <c:f>'Pivot table'!$J$14:$J$17</c:f>
              <c:strCache>
                <c:ptCount val="4"/>
                <c:pt idx="0">
                  <c:v>East</c:v>
                </c:pt>
                <c:pt idx="1">
                  <c:v>North</c:v>
                </c:pt>
                <c:pt idx="2">
                  <c:v>South</c:v>
                </c:pt>
                <c:pt idx="3">
                  <c:v>West</c:v>
                </c:pt>
              </c:strCache>
            </c:strRef>
          </c:cat>
          <c:val>
            <c:numRef>
              <c:f>'Pivot table'!$N$14:$N$17</c:f>
              <c:numCache>
                <c:formatCode>[$₦-46A]#,##0</c:formatCode>
                <c:ptCount val="4"/>
                <c:pt idx="0">
                  <c:v>70170000</c:v>
                </c:pt>
                <c:pt idx="1">
                  <c:v>51049631</c:v>
                </c:pt>
                <c:pt idx="2">
                  <c:v>1530000</c:v>
                </c:pt>
                <c:pt idx="3">
                  <c:v>850000</c:v>
                </c:pt>
              </c:numCache>
            </c:numRef>
          </c:val>
        </c:ser>
        <c:ser>
          <c:idx val="4"/>
          <c:order val="4"/>
          <c:tx>
            <c:strRef>
              <c:f>'Pivot table'!$O$12:$O$13</c:f>
              <c:strCache>
                <c:ptCount val="1"/>
                <c:pt idx="0">
                  <c:v>Speaker S10</c:v>
                </c:pt>
              </c:strCache>
            </c:strRef>
          </c:tx>
          <c:spPr>
            <a:solidFill>
              <a:schemeClr val="accent5"/>
            </a:solidFill>
            <a:ln>
              <a:noFill/>
            </a:ln>
            <a:effectLst/>
          </c:spPr>
          <c:invertIfNegative val="0"/>
          <c:cat>
            <c:strRef>
              <c:f>'Pivot table'!$J$14:$J$17</c:f>
              <c:strCache>
                <c:ptCount val="4"/>
                <c:pt idx="0">
                  <c:v>East</c:v>
                </c:pt>
                <c:pt idx="1">
                  <c:v>North</c:v>
                </c:pt>
                <c:pt idx="2">
                  <c:v>South</c:v>
                </c:pt>
                <c:pt idx="3">
                  <c:v>West</c:v>
                </c:pt>
              </c:strCache>
            </c:strRef>
          </c:cat>
          <c:val>
            <c:numRef>
              <c:f>'Pivot table'!$O$14:$O$17</c:f>
              <c:numCache>
                <c:formatCode>[$₦-46A]#,##0</c:formatCode>
                <c:ptCount val="4"/>
                <c:pt idx="0">
                  <c:v>19950000</c:v>
                </c:pt>
                <c:pt idx="1">
                  <c:v>7350000</c:v>
                </c:pt>
                <c:pt idx="2">
                  <c:v>15250000</c:v>
                </c:pt>
                <c:pt idx="3">
                  <c:v>5250000</c:v>
                </c:pt>
              </c:numCache>
            </c:numRef>
          </c:val>
        </c:ser>
        <c:ser>
          <c:idx val="5"/>
          <c:order val="5"/>
          <c:tx>
            <c:strRef>
              <c:f>'Pivot table'!$P$12:$P$13</c:f>
              <c:strCache>
                <c:ptCount val="1"/>
                <c:pt idx="0">
                  <c:v>Tablet T8</c:v>
                </c:pt>
              </c:strCache>
            </c:strRef>
          </c:tx>
          <c:spPr>
            <a:solidFill>
              <a:schemeClr val="accent6"/>
            </a:solidFill>
            <a:ln>
              <a:noFill/>
            </a:ln>
            <a:effectLst/>
          </c:spPr>
          <c:invertIfNegative val="0"/>
          <c:cat>
            <c:strRef>
              <c:f>'Pivot table'!$J$14:$J$17</c:f>
              <c:strCache>
                <c:ptCount val="4"/>
                <c:pt idx="0">
                  <c:v>East</c:v>
                </c:pt>
                <c:pt idx="1">
                  <c:v>North</c:v>
                </c:pt>
                <c:pt idx="2">
                  <c:v>South</c:v>
                </c:pt>
                <c:pt idx="3">
                  <c:v>West</c:v>
                </c:pt>
              </c:strCache>
            </c:strRef>
          </c:cat>
          <c:val>
            <c:numRef>
              <c:f>'Pivot table'!$P$14:$P$17</c:f>
              <c:numCache>
                <c:formatCode>[$₦-46A]#,##0</c:formatCode>
                <c:ptCount val="4"/>
                <c:pt idx="0">
                  <c:v>4800000</c:v>
                </c:pt>
                <c:pt idx="1">
                  <c:v>3300000</c:v>
                </c:pt>
                <c:pt idx="2">
                  <c:v>7800000</c:v>
                </c:pt>
                <c:pt idx="3">
                  <c:v>18500000</c:v>
                </c:pt>
              </c:numCache>
            </c:numRef>
          </c:val>
        </c:ser>
        <c:ser>
          <c:idx val="6"/>
          <c:order val="6"/>
          <c:tx>
            <c:strRef>
              <c:f>'Pivot table'!$Q$12:$Q$13</c:f>
              <c:strCache>
                <c:ptCount val="1"/>
                <c:pt idx="0">
                  <c:v>Tv 43Q</c:v>
                </c:pt>
              </c:strCache>
            </c:strRef>
          </c:tx>
          <c:spPr>
            <a:solidFill>
              <a:schemeClr val="accent1">
                <a:lumMod val="60000"/>
              </a:schemeClr>
            </a:solidFill>
            <a:ln>
              <a:noFill/>
            </a:ln>
            <a:effectLst/>
          </c:spPr>
          <c:invertIfNegative val="0"/>
          <c:cat>
            <c:strRef>
              <c:f>'Pivot table'!$J$14:$J$17</c:f>
              <c:strCache>
                <c:ptCount val="4"/>
                <c:pt idx="0">
                  <c:v>East</c:v>
                </c:pt>
                <c:pt idx="1">
                  <c:v>North</c:v>
                </c:pt>
                <c:pt idx="2">
                  <c:v>South</c:v>
                </c:pt>
                <c:pt idx="3">
                  <c:v>West</c:v>
                </c:pt>
              </c:strCache>
            </c:strRef>
          </c:cat>
          <c:val>
            <c:numRef>
              <c:f>'Pivot table'!$Q$14:$Q$17</c:f>
              <c:numCache>
                <c:formatCode>[$₦-46A]#,##0</c:formatCode>
                <c:ptCount val="4"/>
                <c:pt idx="0">
                  <c:v>4970000</c:v>
                </c:pt>
                <c:pt idx="1">
                  <c:v>7525000</c:v>
                </c:pt>
                <c:pt idx="2">
                  <c:v>8755000</c:v>
                </c:pt>
                <c:pt idx="3">
                  <c:v>5225000</c:v>
                </c:pt>
              </c:numCache>
            </c:numRef>
          </c:val>
        </c:ser>
        <c:dLbls>
          <c:showLegendKey val="0"/>
          <c:showVal val="0"/>
          <c:showCatName val="0"/>
          <c:showSerName val="0"/>
          <c:showPercent val="0"/>
          <c:showBubbleSize val="0"/>
        </c:dLbls>
        <c:gapWidth val="219"/>
        <c:overlap val="-27"/>
        <c:axId val="1210855232"/>
        <c:axId val="1210855776"/>
      </c:barChart>
      <c:catAx>
        <c:axId val="121085523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10855776"/>
        <c:crosses val="autoZero"/>
        <c:auto val="1"/>
        <c:lblAlgn val="ctr"/>
        <c:lblOffset val="100"/>
        <c:noMultiLvlLbl val="0"/>
      </c:catAx>
      <c:valAx>
        <c:axId val="1210855776"/>
        <c:scaling>
          <c:orientation val="minMax"/>
        </c:scaling>
        <c:delete val="0"/>
        <c:axPos val="l"/>
        <c:majorGridlines>
          <c:spPr>
            <a:ln w="9525" cap="flat" cmpd="sng" algn="ctr">
              <a:solidFill>
                <a:schemeClr val="tx1">
                  <a:lumMod val="15000"/>
                  <a:lumOff val="85000"/>
                </a:schemeClr>
              </a:solidFill>
              <a:round/>
            </a:ln>
            <a:effectLst/>
          </c:spPr>
        </c:majorGridlines>
        <c:numFmt formatCode="[$₦-46A]#,##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1085523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Lst>
</c:chartSpace>
</file>

<file path=xl/charts/chart13.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[My excel Final Project (1).xlsx]Sheet1!PivotTable19</c:name>
    <c:fmtId val="0"/>
  </c:pivotSource>
  <c:chart>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s>
    <c:plotArea>
      <c:layout>
        <c:manualLayout>
          <c:layoutTarget val="inner"/>
          <c:xMode val="edge"/>
          <c:yMode val="edge"/>
          <c:x val="0.17627537182852143"/>
          <c:y val="0.2572178477690289"/>
          <c:w val="0.77928018372703411"/>
          <c:h val="0.39001932050160398"/>
        </c:manualLayout>
      </c:layout>
      <c:barChart>
        <c:barDir val="col"/>
        <c:grouping val="clustered"/>
        <c:varyColors val="0"/>
        <c:ser>
          <c:idx val="0"/>
          <c:order val="0"/>
          <c:tx>
            <c:strRef>
              <c:f>Sheet1!$R$20</c:f>
              <c:strCache>
                <c:ptCount val="1"/>
                <c:pt idx="0">
                  <c:v>Sum of Unit Price</c:v>
                </c:pt>
              </c:strCache>
            </c:strRef>
          </c:tx>
          <c:spPr>
            <a:solidFill>
              <a:schemeClr val="accent1"/>
            </a:solidFill>
            <a:ln>
              <a:noFill/>
            </a:ln>
            <a:effectLst/>
          </c:spPr>
          <c:invertIfNegative val="0"/>
          <c:cat>
            <c:multiLvlStrRef>
              <c:f>Sheet1!$Q$21:$Q$55</c:f>
              <c:multiLvlStrCache>
                <c:ptCount val="31"/>
                <c:lvl>
                  <c:pt idx="0">
                    <c:v>Peter Obi</c:v>
                  </c:pt>
                  <c:pt idx="1">
                    <c:v>Grace Amos</c:v>
                  </c:pt>
                  <c:pt idx="2">
                    <c:v>Mary John</c:v>
                  </c:pt>
                  <c:pt idx="3">
                    <c:v>Chinedu Nwosu</c:v>
                  </c:pt>
                  <c:pt idx="4">
                    <c:v>Ifeanyi OKafor</c:v>
                  </c:pt>
                  <c:pt idx="5">
                    <c:v>Fola Balogun</c:v>
                  </c:pt>
                  <c:pt idx="6">
                    <c:v>Job Austin</c:v>
                  </c:pt>
                  <c:pt idx="7">
                    <c:v>Aisha Bello</c:v>
                  </c:pt>
                  <c:pt idx="8">
                    <c:v>Grace Amos</c:v>
                  </c:pt>
                  <c:pt idx="9">
                    <c:v>Aisha Bello</c:v>
                  </c:pt>
                  <c:pt idx="10">
                    <c:v>Chinedu Nwosu</c:v>
                  </c:pt>
                  <c:pt idx="11">
                    <c:v>Mary John</c:v>
                  </c:pt>
                  <c:pt idx="12">
                    <c:v>Fola Balogun</c:v>
                  </c:pt>
                  <c:pt idx="13">
                    <c:v>Ifeanyi OKafor</c:v>
                  </c:pt>
                  <c:pt idx="14">
                    <c:v>Praise Odunayo</c:v>
                  </c:pt>
                  <c:pt idx="15">
                    <c:v>Peter Obi</c:v>
                  </c:pt>
                  <c:pt idx="16">
                    <c:v>Fola Balogun</c:v>
                  </c:pt>
                  <c:pt idx="17">
                    <c:v>Ifeanyi OKafor</c:v>
                  </c:pt>
                  <c:pt idx="18">
                    <c:v>Aisha Bello</c:v>
                  </c:pt>
                  <c:pt idx="19">
                    <c:v>Grace Amos</c:v>
                  </c:pt>
                  <c:pt idx="20">
                    <c:v>Chinedu Nwosu</c:v>
                  </c:pt>
                  <c:pt idx="21">
                    <c:v>Peter Obi</c:v>
                  </c:pt>
                  <c:pt idx="22">
                    <c:v>Mary John</c:v>
                  </c:pt>
                  <c:pt idx="23">
                    <c:v>Chinedu Nwosu</c:v>
                  </c:pt>
                  <c:pt idx="24">
                    <c:v>Aisha Bello</c:v>
                  </c:pt>
                  <c:pt idx="25">
                    <c:v>Peter Obi</c:v>
                  </c:pt>
                  <c:pt idx="26">
                    <c:v>Grace Amos</c:v>
                  </c:pt>
                  <c:pt idx="27">
                    <c:v>Fola Balogun</c:v>
                  </c:pt>
                  <c:pt idx="28">
                    <c:v>Mary John</c:v>
                  </c:pt>
                  <c:pt idx="29">
                    <c:v>Ifeanyi OKafor</c:v>
                  </c:pt>
                  <c:pt idx="30">
                    <c:v>Aba Joel</c:v>
                  </c:pt>
                </c:lvl>
                <c:lvl>
                  <c:pt idx="0">
                    <c:v>East</c:v>
                  </c:pt>
                  <c:pt idx="8">
                    <c:v>North</c:v>
                  </c:pt>
                  <c:pt idx="16">
                    <c:v>South</c:v>
                  </c:pt>
                  <c:pt idx="23">
                    <c:v>West</c:v>
                  </c:pt>
                </c:lvl>
              </c:multiLvlStrCache>
            </c:multiLvlStrRef>
          </c:cat>
          <c:val>
            <c:numRef>
              <c:f>Sheet1!$R$21:$R$55</c:f>
              <c:numCache>
                <c:formatCode>[$₦-46A]#,##0.00</c:formatCode>
                <c:ptCount val="31"/>
                <c:pt idx="0">
                  <c:v>5830000</c:v>
                </c:pt>
                <c:pt idx="1">
                  <c:v>1235000</c:v>
                </c:pt>
                <c:pt idx="2">
                  <c:v>1175000</c:v>
                </c:pt>
                <c:pt idx="3">
                  <c:v>980000</c:v>
                </c:pt>
                <c:pt idx="4">
                  <c:v>835000</c:v>
                </c:pt>
                <c:pt idx="5">
                  <c:v>725000</c:v>
                </c:pt>
                <c:pt idx="6">
                  <c:v>350000</c:v>
                </c:pt>
                <c:pt idx="7">
                  <c:v>85000</c:v>
                </c:pt>
                <c:pt idx="8">
                  <c:v>2835000</c:v>
                </c:pt>
                <c:pt idx="9">
                  <c:v>660000</c:v>
                </c:pt>
                <c:pt idx="10">
                  <c:v>600000</c:v>
                </c:pt>
                <c:pt idx="11">
                  <c:v>475000</c:v>
                </c:pt>
                <c:pt idx="12">
                  <c:v>264233</c:v>
                </c:pt>
                <c:pt idx="13">
                  <c:v>215000</c:v>
                </c:pt>
                <c:pt idx="14">
                  <c:v>150000</c:v>
                </c:pt>
                <c:pt idx="15">
                  <c:v>150000</c:v>
                </c:pt>
                <c:pt idx="16">
                  <c:v>1050000</c:v>
                </c:pt>
                <c:pt idx="17">
                  <c:v>1025000</c:v>
                </c:pt>
                <c:pt idx="18">
                  <c:v>700000</c:v>
                </c:pt>
                <c:pt idx="19">
                  <c:v>575000</c:v>
                </c:pt>
                <c:pt idx="20">
                  <c:v>490000</c:v>
                </c:pt>
                <c:pt idx="21">
                  <c:v>435000</c:v>
                </c:pt>
                <c:pt idx="22">
                  <c:v>215000</c:v>
                </c:pt>
                <c:pt idx="23">
                  <c:v>1590000</c:v>
                </c:pt>
                <c:pt idx="24">
                  <c:v>915000</c:v>
                </c:pt>
                <c:pt idx="25">
                  <c:v>590000</c:v>
                </c:pt>
                <c:pt idx="26">
                  <c:v>305000</c:v>
                </c:pt>
                <c:pt idx="27">
                  <c:v>300000</c:v>
                </c:pt>
                <c:pt idx="28">
                  <c:v>150000</c:v>
                </c:pt>
                <c:pt idx="29">
                  <c:v>85000</c:v>
                </c:pt>
                <c:pt idx="30">
                  <c:v>65000</c:v>
                </c:pt>
              </c:numCache>
            </c:numRef>
          </c:val>
        </c:ser>
        <c:ser>
          <c:idx val="1"/>
          <c:order val="1"/>
          <c:tx>
            <c:strRef>
              <c:f>Sheet1!$S$20</c:f>
              <c:strCache>
                <c:ptCount val="1"/>
                <c:pt idx="0">
                  <c:v>Sum of Units Sold</c:v>
                </c:pt>
              </c:strCache>
            </c:strRef>
          </c:tx>
          <c:spPr>
            <a:solidFill>
              <a:schemeClr val="accent2"/>
            </a:solidFill>
            <a:ln>
              <a:noFill/>
            </a:ln>
            <a:effectLst/>
          </c:spPr>
          <c:invertIfNegative val="0"/>
          <c:cat>
            <c:multiLvlStrRef>
              <c:f>Sheet1!$Q$21:$Q$55</c:f>
              <c:multiLvlStrCache>
                <c:ptCount val="31"/>
                <c:lvl>
                  <c:pt idx="0">
                    <c:v>Peter Obi</c:v>
                  </c:pt>
                  <c:pt idx="1">
                    <c:v>Grace Amos</c:v>
                  </c:pt>
                  <c:pt idx="2">
                    <c:v>Mary John</c:v>
                  </c:pt>
                  <c:pt idx="3">
                    <c:v>Chinedu Nwosu</c:v>
                  </c:pt>
                  <c:pt idx="4">
                    <c:v>Ifeanyi OKafor</c:v>
                  </c:pt>
                  <c:pt idx="5">
                    <c:v>Fola Balogun</c:v>
                  </c:pt>
                  <c:pt idx="6">
                    <c:v>Job Austin</c:v>
                  </c:pt>
                  <c:pt idx="7">
                    <c:v>Aisha Bello</c:v>
                  </c:pt>
                  <c:pt idx="8">
                    <c:v>Grace Amos</c:v>
                  </c:pt>
                  <c:pt idx="9">
                    <c:v>Aisha Bello</c:v>
                  </c:pt>
                  <c:pt idx="10">
                    <c:v>Chinedu Nwosu</c:v>
                  </c:pt>
                  <c:pt idx="11">
                    <c:v>Mary John</c:v>
                  </c:pt>
                  <c:pt idx="12">
                    <c:v>Fola Balogun</c:v>
                  </c:pt>
                  <c:pt idx="13">
                    <c:v>Ifeanyi OKafor</c:v>
                  </c:pt>
                  <c:pt idx="14">
                    <c:v>Praise Odunayo</c:v>
                  </c:pt>
                  <c:pt idx="15">
                    <c:v>Peter Obi</c:v>
                  </c:pt>
                  <c:pt idx="16">
                    <c:v>Fola Balogun</c:v>
                  </c:pt>
                  <c:pt idx="17">
                    <c:v>Ifeanyi OKafor</c:v>
                  </c:pt>
                  <c:pt idx="18">
                    <c:v>Aisha Bello</c:v>
                  </c:pt>
                  <c:pt idx="19">
                    <c:v>Grace Amos</c:v>
                  </c:pt>
                  <c:pt idx="20">
                    <c:v>Chinedu Nwosu</c:v>
                  </c:pt>
                  <c:pt idx="21">
                    <c:v>Peter Obi</c:v>
                  </c:pt>
                  <c:pt idx="22">
                    <c:v>Mary John</c:v>
                  </c:pt>
                  <c:pt idx="23">
                    <c:v>Chinedu Nwosu</c:v>
                  </c:pt>
                  <c:pt idx="24">
                    <c:v>Aisha Bello</c:v>
                  </c:pt>
                  <c:pt idx="25">
                    <c:v>Peter Obi</c:v>
                  </c:pt>
                  <c:pt idx="26">
                    <c:v>Grace Amos</c:v>
                  </c:pt>
                  <c:pt idx="27">
                    <c:v>Fola Balogun</c:v>
                  </c:pt>
                  <c:pt idx="28">
                    <c:v>Mary John</c:v>
                  </c:pt>
                  <c:pt idx="29">
                    <c:v>Ifeanyi OKafor</c:v>
                  </c:pt>
                  <c:pt idx="30">
                    <c:v>Aba Joel</c:v>
                  </c:pt>
                </c:lvl>
                <c:lvl>
                  <c:pt idx="0">
                    <c:v>East</c:v>
                  </c:pt>
                  <c:pt idx="8">
                    <c:v>North</c:v>
                  </c:pt>
                  <c:pt idx="16">
                    <c:v>South</c:v>
                  </c:pt>
                  <c:pt idx="23">
                    <c:v>West</c:v>
                  </c:pt>
                </c:lvl>
              </c:multiLvlStrCache>
            </c:multiLvlStrRef>
          </c:cat>
          <c:val>
            <c:numRef>
              <c:f>Sheet1!$S$21:$S$55</c:f>
              <c:numCache>
                <c:formatCode>General</c:formatCode>
                <c:ptCount val="31"/>
                <c:pt idx="0">
                  <c:v>51</c:v>
                </c:pt>
                <c:pt idx="1">
                  <c:v>49</c:v>
                </c:pt>
                <c:pt idx="2">
                  <c:v>48</c:v>
                </c:pt>
                <c:pt idx="3">
                  <c:v>72</c:v>
                </c:pt>
                <c:pt idx="4">
                  <c:v>47</c:v>
                </c:pt>
                <c:pt idx="5">
                  <c:v>61</c:v>
                </c:pt>
                <c:pt idx="6">
                  <c:v>15</c:v>
                </c:pt>
                <c:pt idx="7">
                  <c:v>7</c:v>
                </c:pt>
                <c:pt idx="8">
                  <c:v>38</c:v>
                </c:pt>
                <c:pt idx="9">
                  <c:v>37</c:v>
                </c:pt>
                <c:pt idx="10">
                  <c:v>25</c:v>
                </c:pt>
                <c:pt idx="11">
                  <c:v>32</c:v>
                </c:pt>
                <c:pt idx="12">
                  <c:v>21</c:v>
                </c:pt>
                <c:pt idx="13">
                  <c:v>26</c:v>
                </c:pt>
                <c:pt idx="14">
                  <c:v>19</c:v>
                </c:pt>
                <c:pt idx="15">
                  <c:v>4</c:v>
                </c:pt>
                <c:pt idx="16">
                  <c:v>87</c:v>
                </c:pt>
                <c:pt idx="17">
                  <c:v>60</c:v>
                </c:pt>
                <c:pt idx="18">
                  <c:v>35</c:v>
                </c:pt>
                <c:pt idx="19">
                  <c:v>50</c:v>
                </c:pt>
                <c:pt idx="20">
                  <c:v>36</c:v>
                </c:pt>
                <c:pt idx="21">
                  <c:v>26</c:v>
                </c:pt>
                <c:pt idx="22">
                  <c:v>14</c:v>
                </c:pt>
                <c:pt idx="23">
                  <c:v>91</c:v>
                </c:pt>
                <c:pt idx="24">
                  <c:v>45</c:v>
                </c:pt>
                <c:pt idx="25">
                  <c:v>40</c:v>
                </c:pt>
                <c:pt idx="26">
                  <c:v>40</c:v>
                </c:pt>
                <c:pt idx="27">
                  <c:v>26</c:v>
                </c:pt>
                <c:pt idx="28">
                  <c:v>11</c:v>
                </c:pt>
                <c:pt idx="29">
                  <c:v>18</c:v>
                </c:pt>
                <c:pt idx="30">
                  <c:v>10</c:v>
                </c:pt>
              </c:numCache>
            </c:numRef>
          </c:val>
        </c:ser>
        <c:dLbls>
          <c:showLegendKey val="0"/>
          <c:showVal val="0"/>
          <c:showCatName val="0"/>
          <c:showSerName val="0"/>
          <c:showPercent val="0"/>
          <c:showBubbleSize val="0"/>
        </c:dLbls>
        <c:gapWidth val="219"/>
        <c:overlap val="-27"/>
        <c:axId val="1210857952"/>
        <c:axId val="1210844896"/>
      </c:barChart>
      <c:catAx>
        <c:axId val="121085795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10844896"/>
        <c:crosses val="autoZero"/>
        <c:auto val="1"/>
        <c:lblAlgn val="ctr"/>
        <c:lblOffset val="100"/>
        <c:noMultiLvlLbl val="0"/>
      </c:catAx>
      <c:valAx>
        <c:axId val="1210844896"/>
        <c:scaling>
          <c:orientation val="minMax"/>
        </c:scaling>
        <c:delete val="0"/>
        <c:axPos val="l"/>
        <c:numFmt formatCode="[$₦-46A]#,##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10857952"/>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Lst>
</c:chartSpace>
</file>

<file path=xl/charts/chart14.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[My excel Final Project (1).xlsx]Pivot table!PivotTable7</c:name>
    <c:fmtId val="2"/>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1"/>
          </a:solidFill>
          <a:ln>
            <a:noFill/>
          </a:ln>
          <a:effectLst/>
        </c:spPr>
        <c:marker>
          <c:symbol val="none"/>
        </c:marker>
      </c:pivotFmt>
    </c:pivotFmts>
    <c:plotArea>
      <c:layout/>
      <c:barChart>
        <c:barDir val="col"/>
        <c:grouping val="stacked"/>
        <c:varyColors val="0"/>
        <c:ser>
          <c:idx val="0"/>
          <c:order val="0"/>
          <c:tx>
            <c:strRef>
              <c:f>'Pivot table'!$H$12</c:f>
              <c:strCache>
                <c:ptCount val="1"/>
                <c:pt idx="0">
                  <c:v>Total</c:v>
                </c:pt>
              </c:strCache>
            </c:strRef>
          </c:tx>
          <c:spPr>
            <a:solidFill>
              <a:schemeClr val="accent1"/>
            </a:solidFill>
            <a:ln>
              <a:noFill/>
            </a:ln>
            <a:effectLst/>
          </c:spPr>
          <c:invertIfNegative val="0"/>
          <c:cat>
            <c:multiLvlStrRef>
              <c:f>'Pivot table'!$G$13:$G$20</c:f>
              <c:multiLvlStrCache>
                <c:ptCount val="6"/>
                <c:lvl>
                  <c:pt idx="0">
                    <c:v>Jan</c:v>
                  </c:pt>
                  <c:pt idx="1">
                    <c:v>Feb</c:v>
                  </c:pt>
                  <c:pt idx="2">
                    <c:v>Mar</c:v>
                  </c:pt>
                  <c:pt idx="3">
                    <c:v>Apr</c:v>
                  </c:pt>
                  <c:pt idx="4">
                    <c:v>May</c:v>
                  </c:pt>
                  <c:pt idx="5">
                    <c:v>Jun</c:v>
                  </c:pt>
                </c:lvl>
                <c:lvl>
                  <c:pt idx="0">
                    <c:v>Qtr1</c:v>
                  </c:pt>
                  <c:pt idx="3">
                    <c:v>Qtr2</c:v>
                  </c:pt>
                </c:lvl>
              </c:multiLvlStrCache>
            </c:multiLvlStrRef>
          </c:cat>
          <c:val>
            <c:numRef>
              <c:f>'Pivot table'!$H$13:$H$20</c:f>
              <c:numCache>
                <c:formatCode>[$₦-46A]#,##0</c:formatCode>
                <c:ptCount val="6"/>
                <c:pt idx="0">
                  <c:v>40134631</c:v>
                </c:pt>
                <c:pt idx="1">
                  <c:v>62360000</c:v>
                </c:pt>
                <c:pt idx="2">
                  <c:v>62275000</c:v>
                </c:pt>
                <c:pt idx="3">
                  <c:v>23415000</c:v>
                </c:pt>
                <c:pt idx="4">
                  <c:v>98915000</c:v>
                </c:pt>
                <c:pt idx="5">
                  <c:v>36635000</c:v>
                </c:pt>
              </c:numCache>
            </c:numRef>
          </c:val>
        </c:ser>
        <c:dLbls>
          <c:showLegendKey val="0"/>
          <c:showVal val="0"/>
          <c:showCatName val="0"/>
          <c:showSerName val="0"/>
          <c:showPercent val="0"/>
          <c:showBubbleSize val="0"/>
        </c:dLbls>
        <c:gapWidth val="150"/>
        <c:overlap val="100"/>
        <c:axId val="1210845984"/>
        <c:axId val="1210847072"/>
      </c:barChart>
      <c:catAx>
        <c:axId val="121084598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10847072"/>
        <c:crosses val="autoZero"/>
        <c:auto val="1"/>
        <c:lblAlgn val="ctr"/>
        <c:lblOffset val="100"/>
        <c:noMultiLvlLbl val="0"/>
      </c:catAx>
      <c:valAx>
        <c:axId val="1210847072"/>
        <c:scaling>
          <c:orientation val="minMax"/>
        </c:scaling>
        <c:delete val="0"/>
        <c:axPos val="l"/>
        <c:majorGridlines>
          <c:spPr>
            <a:ln w="9525" cap="flat" cmpd="sng" algn="ctr">
              <a:solidFill>
                <a:schemeClr val="tx1">
                  <a:lumMod val="15000"/>
                  <a:lumOff val="85000"/>
                </a:schemeClr>
              </a:solidFill>
              <a:round/>
            </a:ln>
            <a:effectLst/>
          </c:spPr>
        </c:majorGridlines>
        <c:numFmt formatCode="[$₦-46A]#,##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1084598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6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6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7" Type="http://schemas.openxmlformats.org/officeDocument/2006/relationships/chart" Target="../charts/chart7.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_rels/drawing3.xml.rels><?xml version="1.0" encoding="UTF-8" standalone="yes"?>
<Relationships xmlns="http://schemas.openxmlformats.org/package/2006/relationships"><Relationship Id="rId3" Type="http://schemas.openxmlformats.org/officeDocument/2006/relationships/chart" Target="../charts/chart10.xml"/><Relationship Id="rId7" Type="http://schemas.openxmlformats.org/officeDocument/2006/relationships/chart" Target="../charts/chart14.xml"/><Relationship Id="rId2" Type="http://schemas.openxmlformats.org/officeDocument/2006/relationships/chart" Target="../charts/chart9.xml"/><Relationship Id="rId1" Type="http://schemas.openxmlformats.org/officeDocument/2006/relationships/chart" Target="../charts/chart8.xml"/><Relationship Id="rId6" Type="http://schemas.openxmlformats.org/officeDocument/2006/relationships/chart" Target="../charts/chart13.xml"/><Relationship Id="rId5" Type="http://schemas.openxmlformats.org/officeDocument/2006/relationships/chart" Target="../charts/chart12.xml"/><Relationship Id="rId4" Type="http://schemas.openxmlformats.org/officeDocument/2006/relationships/chart" Target="../charts/chart11.xml"/></Relationships>
</file>

<file path=xl/drawings/drawing1.xml><?xml version="1.0" encoding="utf-8"?>
<xdr:wsDr xmlns:xdr="http://schemas.openxmlformats.org/drawingml/2006/spreadsheetDrawing" xmlns:a="http://schemas.openxmlformats.org/drawingml/2006/main">
  <xdr:twoCellAnchor>
    <xdr:from>
      <xdr:col>3</xdr:col>
      <xdr:colOff>419100</xdr:colOff>
      <xdr:row>8</xdr:row>
      <xdr:rowOff>104775</xdr:rowOff>
    </xdr:from>
    <xdr:to>
      <xdr:col>8</xdr:col>
      <xdr:colOff>466725</xdr:colOff>
      <xdr:row>18</xdr:row>
      <xdr:rowOff>28575</xdr:rowOff>
    </xdr:to>
    <xdr:graphicFrame macro="">
      <xdr:nvGraphicFramePr>
        <xdr:cNvPr id="2" name="Chart 1"/>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419101</xdr:colOff>
      <xdr:row>4</xdr:row>
      <xdr:rowOff>9525</xdr:rowOff>
    </xdr:from>
    <xdr:to>
      <xdr:col>8</xdr:col>
      <xdr:colOff>476250</xdr:colOff>
      <xdr:row>8</xdr:row>
      <xdr:rowOff>47625</xdr:rowOff>
    </xdr:to>
    <xdr:sp macro="" textlink="">
      <xdr:nvSpPr>
        <xdr:cNvPr id="5" name="Rounded Rectangle 4"/>
        <xdr:cNvSpPr/>
      </xdr:nvSpPr>
      <xdr:spPr>
        <a:xfrm>
          <a:off x="2247901" y="771525"/>
          <a:ext cx="3876674" cy="866775"/>
        </a:xfrm>
        <a:prstGeom prst="roundRect">
          <a:avLst/>
        </a:prstGeom>
        <a:noFill/>
        <a:ln w="76200">
          <a:solidFill>
            <a:schemeClr val="accent4">
              <a:lumMod val="60000"/>
              <a:lumOff val="4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428626</xdr:colOff>
      <xdr:row>1</xdr:row>
      <xdr:rowOff>19049</xdr:rowOff>
    </xdr:from>
    <xdr:to>
      <xdr:col>17</xdr:col>
      <xdr:colOff>390526</xdr:colOff>
      <xdr:row>2</xdr:row>
      <xdr:rowOff>142874</xdr:rowOff>
    </xdr:to>
    <xdr:sp macro="" textlink="">
      <xdr:nvSpPr>
        <xdr:cNvPr id="3" name="TextBox 2"/>
        <xdr:cNvSpPr txBox="1"/>
      </xdr:nvSpPr>
      <xdr:spPr>
        <a:xfrm>
          <a:off x="2257426" y="209549"/>
          <a:ext cx="8496300" cy="314325"/>
        </a:xfrm>
        <a:prstGeom prst="rect">
          <a:avLst/>
        </a:prstGeom>
        <a:solidFill>
          <a:schemeClr val="accent4">
            <a:lumMod val="40000"/>
            <a:lumOff val="6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800">
              <a:solidFill>
                <a:schemeClr val="tx1"/>
              </a:solidFill>
              <a:latin typeface="Algerian" panose="04020705040A02060702" pitchFamily="82" charset="0"/>
            </a:rPr>
            <a:t>CAPSTONE SALES</a:t>
          </a:r>
          <a:r>
            <a:rPr lang="en-US" sz="1800" baseline="0">
              <a:solidFill>
                <a:schemeClr val="tx1"/>
              </a:solidFill>
              <a:latin typeface="Algerian" panose="04020705040A02060702" pitchFamily="82" charset="0"/>
            </a:rPr>
            <a:t> PERFORMANCE DASHBORD</a:t>
          </a:r>
          <a:endParaRPr lang="en-US" sz="1800">
            <a:solidFill>
              <a:schemeClr val="tx1"/>
            </a:solidFill>
            <a:latin typeface="Algerian" panose="04020705040A02060702" pitchFamily="82" charset="0"/>
          </a:endParaRPr>
        </a:p>
      </xdr:txBody>
    </xdr:sp>
    <xdr:clientData/>
  </xdr:twoCellAnchor>
  <xdr:twoCellAnchor>
    <xdr:from>
      <xdr:col>8</xdr:col>
      <xdr:colOff>466725</xdr:colOff>
      <xdr:row>8</xdr:row>
      <xdr:rowOff>95251</xdr:rowOff>
    </xdr:from>
    <xdr:to>
      <xdr:col>13</xdr:col>
      <xdr:colOff>161925</xdr:colOff>
      <xdr:row>18</xdr:row>
      <xdr:rowOff>28575</xdr:rowOff>
    </xdr:to>
    <xdr:graphicFrame macro="">
      <xdr:nvGraphicFramePr>
        <xdr:cNvPr id="4" name="Chart 3"/>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0</xdr:col>
      <xdr:colOff>182880</xdr:colOff>
      <xdr:row>4</xdr:row>
      <xdr:rowOff>68580</xdr:rowOff>
    </xdr:from>
    <xdr:to>
      <xdr:col>3</xdr:col>
      <xdr:colOff>175011</xdr:colOff>
      <xdr:row>12</xdr:row>
      <xdr:rowOff>76200</xdr:rowOff>
    </xdr:to>
    <mc:AlternateContent xmlns:mc="http://schemas.openxmlformats.org/markup-compatibility/2006" xmlns:a14="http://schemas.microsoft.com/office/drawing/2010/main">
      <mc:Choice Requires="a14">
        <xdr:graphicFrame macro="">
          <xdr:nvGraphicFramePr>
            <xdr:cNvPr id="7" name="Category 2"/>
            <xdr:cNvGraphicFramePr/>
          </xdr:nvGraphicFramePr>
          <xdr:xfrm>
            <a:off x="0" y="0"/>
            <a:ext cx="0" cy="0"/>
          </xdr:xfrm>
          <a:graphic>
            <a:graphicData uri="http://schemas.microsoft.com/office/drawing/2010/slicer">
              <sle:slicer xmlns:sle="http://schemas.microsoft.com/office/drawing/2010/slicer" name="Category 2"/>
            </a:graphicData>
          </a:graphic>
        </xdr:graphicFrame>
      </mc:Choice>
      <mc:Fallback xmlns="">
        <xdr:sp macro="" textlink="">
          <xdr:nvSpPr>
            <xdr:cNvPr id="0" name=""/>
            <xdr:cNvSpPr>
              <a:spLocks noTextEdit="1"/>
            </xdr:cNvSpPr>
          </xdr:nvSpPr>
          <xdr:spPr>
            <a:xfrm>
              <a:off x="182880" y="830580"/>
              <a:ext cx="1820931" cy="165544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173355</xdr:colOff>
      <xdr:row>13</xdr:row>
      <xdr:rowOff>19050</xdr:rowOff>
    </xdr:from>
    <xdr:to>
      <xdr:col>3</xdr:col>
      <xdr:colOff>174183</xdr:colOff>
      <xdr:row>21</xdr:row>
      <xdr:rowOff>28575</xdr:rowOff>
    </xdr:to>
    <mc:AlternateContent xmlns:mc="http://schemas.openxmlformats.org/markup-compatibility/2006" xmlns:a14="http://schemas.microsoft.com/office/drawing/2010/main">
      <mc:Choice Requires="a14">
        <xdr:graphicFrame macro="">
          <xdr:nvGraphicFramePr>
            <xdr:cNvPr id="9" name="Product 2"/>
            <xdr:cNvGraphicFramePr/>
          </xdr:nvGraphicFramePr>
          <xdr:xfrm>
            <a:off x="0" y="0"/>
            <a:ext cx="0" cy="0"/>
          </xdr:xfrm>
          <a:graphic>
            <a:graphicData uri="http://schemas.microsoft.com/office/drawing/2010/slicer">
              <sle:slicer xmlns:sle="http://schemas.microsoft.com/office/drawing/2010/slicer" name="Product 2"/>
            </a:graphicData>
          </a:graphic>
        </xdr:graphicFrame>
      </mc:Choice>
      <mc:Fallback xmlns="">
        <xdr:sp macro="" textlink="">
          <xdr:nvSpPr>
            <xdr:cNvPr id="0" name=""/>
            <xdr:cNvSpPr>
              <a:spLocks noTextEdit="1"/>
            </xdr:cNvSpPr>
          </xdr:nvSpPr>
          <xdr:spPr>
            <a:xfrm>
              <a:off x="173355" y="2495550"/>
              <a:ext cx="1829628" cy="15335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182880</xdr:colOff>
      <xdr:row>21</xdr:row>
      <xdr:rowOff>32005</xdr:rowOff>
    </xdr:from>
    <xdr:to>
      <xdr:col>3</xdr:col>
      <xdr:colOff>167558</xdr:colOff>
      <xdr:row>25</xdr:row>
      <xdr:rowOff>152401</xdr:rowOff>
    </xdr:to>
    <mc:AlternateContent xmlns:mc="http://schemas.openxmlformats.org/markup-compatibility/2006" xmlns:a14="http://schemas.microsoft.com/office/drawing/2010/main">
      <mc:Choice Requires="a14">
        <xdr:graphicFrame macro="">
          <xdr:nvGraphicFramePr>
            <xdr:cNvPr id="10" name="Region 3"/>
            <xdr:cNvGraphicFramePr/>
          </xdr:nvGraphicFramePr>
          <xdr:xfrm>
            <a:off x="0" y="0"/>
            <a:ext cx="0" cy="0"/>
          </xdr:xfrm>
          <a:graphic>
            <a:graphicData uri="http://schemas.microsoft.com/office/drawing/2010/slicer">
              <sle:slicer xmlns:sle="http://schemas.microsoft.com/office/drawing/2010/slicer" name="Region 3"/>
            </a:graphicData>
          </a:graphic>
        </xdr:graphicFrame>
      </mc:Choice>
      <mc:Fallback xmlns="">
        <xdr:sp macro="" textlink="">
          <xdr:nvSpPr>
            <xdr:cNvPr id="0" name=""/>
            <xdr:cNvSpPr>
              <a:spLocks noTextEdit="1"/>
            </xdr:cNvSpPr>
          </xdr:nvSpPr>
          <xdr:spPr>
            <a:xfrm>
              <a:off x="182880" y="4032505"/>
              <a:ext cx="1813478" cy="882396"/>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13</xdr:col>
      <xdr:colOff>161926</xdr:colOff>
      <xdr:row>8</xdr:row>
      <xdr:rowOff>104776</xdr:rowOff>
    </xdr:from>
    <xdr:to>
      <xdr:col>17</xdr:col>
      <xdr:colOff>390526</xdr:colOff>
      <xdr:row>18</xdr:row>
      <xdr:rowOff>28576</xdr:rowOff>
    </xdr:to>
    <xdr:graphicFrame macro="">
      <xdr:nvGraphicFramePr>
        <xdr:cNvPr id="11" name="Chart 10"/>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3</xdr:col>
      <xdr:colOff>409575</xdr:colOff>
      <xdr:row>18</xdr:row>
      <xdr:rowOff>57150</xdr:rowOff>
    </xdr:from>
    <xdr:to>
      <xdr:col>8</xdr:col>
      <xdr:colOff>447675</xdr:colOff>
      <xdr:row>28</xdr:row>
      <xdr:rowOff>66675</xdr:rowOff>
    </xdr:to>
    <xdr:graphicFrame macro="">
      <xdr:nvGraphicFramePr>
        <xdr:cNvPr id="13" name="Chart 12"/>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8</xdr:col>
      <xdr:colOff>466726</xdr:colOff>
      <xdr:row>18</xdr:row>
      <xdr:rowOff>57150</xdr:rowOff>
    </xdr:from>
    <xdr:to>
      <xdr:col>13</xdr:col>
      <xdr:colOff>114300</xdr:colOff>
      <xdr:row>28</xdr:row>
      <xdr:rowOff>66675</xdr:rowOff>
    </xdr:to>
    <xdr:graphicFrame macro="">
      <xdr:nvGraphicFramePr>
        <xdr:cNvPr id="23" name="Chart 22"/>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3</xdr:col>
      <xdr:colOff>419100</xdr:colOff>
      <xdr:row>28</xdr:row>
      <xdr:rowOff>95252</xdr:rowOff>
    </xdr:from>
    <xdr:to>
      <xdr:col>17</xdr:col>
      <xdr:colOff>371475</xdr:colOff>
      <xdr:row>39</xdr:row>
      <xdr:rowOff>133350</xdr:rowOff>
    </xdr:to>
    <xdr:graphicFrame macro="">
      <xdr:nvGraphicFramePr>
        <xdr:cNvPr id="24" name="Chart 23"/>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13</xdr:col>
      <xdr:colOff>161925</xdr:colOff>
      <xdr:row>18</xdr:row>
      <xdr:rowOff>47625</xdr:rowOff>
    </xdr:from>
    <xdr:to>
      <xdr:col>17</xdr:col>
      <xdr:colOff>371475</xdr:colOff>
      <xdr:row>28</xdr:row>
      <xdr:rowOff>76200</xdr:rowOff>
    </xdr:to>
    <xdr:graphicFrame macro="">
      <xdr:nvGraphicFramePr>
        <xdr:cNvPr id="25" name="Chart 24"/>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oneCellAnchor>
    <xdr:from>
      <xdr:col>3</xdr:col>
      <xdr:colOff>104775</xdr:colOff>
      <xdr:row>2</xdr:row>
      <xdr:rowOff>104775</xdr:rowOff>
    </xdr:from>
    <xdr:ext cx="184731" cy="264560"/>
    <xdr:sp macro="" textlink="">
      <xdr:nvSpPr>
        <xdr:cNvPr id="32" name="TextBox 31"/>
        <xdr:cNvSpPr txBox="1"/>
      </xdr:nvSpPr>
      <xdr:spPr>
        <a:xfrm>
          <a:off x="1933575" y="4857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twoCellAnchor>
    <xdr:from>
      <xdr:col>8</xdr:col>
      <xdr:colOff>514351</xdr:colOff>
      <xdr:row>4</xdr:row>
      <xdr:rowOff>9525</xdr:rowOff>
    </xdr:from>
    <xdr:to>
      <xdr:col>13</xdr:col>
      <xdr:colOff>123825</xdr:colOff>
      <xdr:row>8</xdr:row>
      <xdr:rowOff>38100</xdr:rowOff>
    </xdr:to>
    <xdr:sp macro="" textlink="">
      <xdr:nvSpPr>
        <xdr:cNvPr id="22" name="Rounded Rectangle 21"/>
        <xdr:cNvSpPr/>
      </xdr:nvSpPr>
      <xdr:spPr>
        <a:xfrm>
          <a:off x="6162676" y="771525"/>
          <a:ext cx="2657474" cy="857250"/>
        </a:xfrm>
        <a:prstGeom prst="roundRect">
          <a:avLst/>
        </a:prstGeom>
        <a:noFill/>
        <a:ln w="76200">
          <a:solidFill>
            <a:schemeClr val="accent4">
              <a:lumMod val="60000"/>
              <a:lumOff val="4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13</xdr:col>
      <xdr:colOff>161926</xdr:colOff>
      <xdr:row>4</xdr:row>
      <xdr:rowOff>28575</xdr:rowOff>
    </xdr:from>
    <xdr:to>
      <xdr:col>17</xdr:col>
      <xdr:colOff>381000</xdr:colOff>
      <xdr:row>8</xdr:row>
      <xdr:rowOff>57150</xdr:rowOff>
    </xdr:to>
    <xdr:sp macro="" textlink="">
      <xdr:nvSpPr>
        <xdr:cNvPr id="26" name="Rounded Rectangle 25"/>
        <xdr:cNvSpPr/>
      </xdr:nvSpPr>
      <xdr:spPr>
        <a:xfrm>
          <a:off x="8858251" y="790575"/>
          <a:ext cx="2657474" cy="857250"/>
        </a:xfrm>
        <a:prstGeom prst="roundRect">
          <a:avLst/>
        </a:prstGeom>
        <a:noFill/>
        <a:ln w="76200">
          <a:solidFill>
            <a:schemeClr val="accent4">
              <a:lumMod val="60000"/>
              <a:lumOff val="4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wsDr>
</file>

<file path=xl/drawings/drawing2.xml><?xml version="1.0" encoding="utf-8"?>
<c:userShapes xmlns:c="http://schemas.openxmlformats.org/drawingml/2006/chart">
  <cdr:relSizeAnchor xmlns:cdr="http://schemas.openxmlformats.org/drawingml/2006/chartDrawing">
    <cdr:from>
      <cdr:x>0.24074</cdr:x>
      <cdr:y>0.0597</cdr:y>
    </cdr:from>
    <cdr:to>
      <cdr:x>0.87346</cdr:x>
      <cdr:y>0.14925</cdr:y>
    </cdr:to>
    <cdr:sp macro="" textlink="">
      <cdr:nvSpPr>
        <cdr:cNvPr id="3" name="TextBox 2"/>
        <cdr:cNvSpPr txBox="1"/>
      </cdr:nvSpPr>
      <cdr:spPr>
        <a:xfrm xmlns:a="http://schemas.openxmlformats.org/drawingml/2006/main">
          <a:off x="742950" y="114300"/>
          <a:ext cx="1952625" cy="171450"/>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endParaRPr lang="en-US" sz="1100"/>
        </a:p>
      </cdr:txBody>
    </cdr:sp>
  </cdr:relSizeAnchor>
</c:userShapes>
</file>

<file path=xl/drawings/drawing3.xml><?xml version="1.0" encoding="utf-8"?>
<xdr:wsDr xmlns:xdr="http://schemas.openxmlformats.org/drawingml/2006/spreadsheetDrawing" xmlns:a="http://schemas.openxmlformats.org/drawingml/2006/main">
  <xdr:twoCellAnchor editAs="oneCell">
    <xdr:from>
      <xdr:col>2</xdr:col>
      <xdr:colOff>0</xdr:colOff>
      <xdr:row>33</xdr:row>
      <xdr:rowOff>0</xdr:rowOff>
    </xdr:from>
    <xdr:to>
      <xdr:col>4</xdr:col>
      <xdr:colOff>360760</xdr:colOff>
      <xdr:row>46</xdr:row>
      <xdr:rowOff>47625</xdr:rowOff>
    </xdr:to>
    <mc:AlternateContent xmlns:mc="http://schemas.openxmlformats.org/markup-compatibility/2006" xmlns:a14="http://schemas.microsoft.com/office/drawing/2010/main">
      <mc:Choice Requires="a14">
        <xdr:graphicFrame macro="">
          <xdr:nvGraphicFramePr>
            <xdr:cNvPr id="3" name="Product 1"/>
            <xdr:cNvGraphicFramePr/>
          </xdr:nvGraphicFramePr>
          <xdr:xfrm>
            <a:off x="0" y="0"/>
            <a:ext cx="0" cy="0"/>
          </xdr:xfrm>
          <a:graphic>
            <a:graphicData uri="http://schemas.microsoft.com/office/drawing/2010/slicer">
              <sle:slicer xmlns:sle="http://schemas.microsoft.com/office/drawing/2010/slicer" name="Product 1"/>
            </a:graphicData>
          </a:graphic>
        </xdr:graphicFrame>
      </mc:Choice>
      <mc:Fallback xmlns="">
        <xdr:sp macro="" textlink="">
          <xdr:nvSpPr>
            <xdr:cNvPr id="0" name=""/>
            <xdr:cNvSpPr>
              <a:spLocks noTextEdit="1"/>
            </xdr:cNvSpPr>
          </xdr:nvSpPr>
          <xdr:spPr>
            <a:xfrm>
              <a:off x="2008533" y="6149837"/>
              <a:ext cx="1829628" cy="2470288"/>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xdr:col>
      <xdr:colOff>327423</xdr:colOff>
      <xdr:row>34</xdr:row>
      <xdr:rowOff>59533</xdr:rowOff>
    </xdr:from>
    <xdr:to>
      <xdr:col>4</xdr:col>
      <xdr:colOff>684016</xdr:colOff>
      <xdr:row>47</xdr:row>
      <xdr:rowOff>107158</xdr:rowOff>
    </xdr:to>
    <mc:AlternateContent xmlns:mc="http://schemas.openxmlformats.org/markup-compatibility/2006" xmlns:a14="http://schemas.microsoft.com/office/drawing/2010/main">
      <mc:Choice Requires="a14">
        <xdr:graphicFrame macro="">
          <xdr:nvGraphicFramePr>
            <xdr:cNvPr id="4" name="Category 1"/>
            <xdr:cNvGraphicFramePr/>
          </xdr:nvGraphicFramePr>
          <xdr:xfrm>
            <a:off x="0" y="0"/>
            <a:ext cx="0" cy="0"/>
          </xdr:xfrm>
          <a:graphic>
            <a:graphicData uri="http://schemas.microsoft.com/office/drawing/2010/slicer">
              <sle:slicer xmlns:sle="http://schemas.microsoft.com/office/drawing/2010/slicer" name="Category 1"/>
            </a:graphicData>
          </a:graphic>
        </xdr:graphicFrame>
      </mc:Choice>
      <mc:Fallback xmlns="">
        <xdr:sp macro="" textlink="">
          <xdr:nvSpPr>
            <xdr:cNvPr id="0" name=""/>
            <xdr:cNvSpPr>
              <a:spLocks noTextEdit="1"/>
            </xdr:cNvSpPr>
          </xdr:nvSpPr>
          <xdr:spPr>
            <a:xfrm>
              <a:off x="3050978" y="6637736"/>
              <a:ext cx="1829991" cy="256282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xdr:col>
      <xdr:colOff>580431</xdr:colOff>
      <xdr:row>36</xdr:row>
      <xdr:rowOff>163712</xdr:rowOff>
    </xdr:from>
    <xdr:to>
      <xdr:col>4</xdr:col>
      <xdr:colOff>935833</xdr:colOff>
      <xdr:row>50</xdr:row>
      <xdr:rowOff>17860</xdr:rowOff>
    </xdr:to>
    <mc:AlternateContent xmlns:mc="http://schemas.openxmlformats.org/markup-compatibility/2006" xmlns:a14="http://schemas.microsoft.com/office/drawing/2010/main">
      <mc:Choice Requires="a14">
        <xdr:graphicFrame macro="">
          <xdr:nvGraphicFramePr>
            <xdr:cNvPr id="5" name="Total sales 1"/>
            <xdr:cNvGraphicFramePr/>
          </xdr:nvGraphicFramePr>
          <xdr:xfrm>
            <a:off x="0" y="0"/>
            <a:ext cx="0" cy="0"/>
          </xdr:xfrm>
          <a:graphic>
            <a:graphicData uri="http://schemas.microsoft.com/office/drawing/2010/slicer">
              <sle:slicer xmlns:sle="http://schemas.microsoft.com/office/drawing/2010/slicer" name="Total sales 1"/>
            </a:graphicData>
          </a:graphic>
        </xdr:graphicFrame>
      </mc:Choice>
      <mc:Fallback xmlns="">
        <xdr:sp macro="" textlink="">
          <xdr:nvSpPr>
            <xdr:cNvPr id="0" name=""/>
            <xdr:cNvSpPr>
              <a:spLocks noTextEdit="1"/>
            </xdr:cNvSpPr>
          </xdr:nvSpPr>
          <xdr:spPr>
            <a:xfrm>
              <a:off x="3303986" y="7128868"/>
              <a:ext cx="1828800" cy="256282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xdr:col>
      <xdr:colOff>625078</xdr:colOff>
      <xdr:row>37</xdr:row>
      <xdr:rowOff>119062</xdr:rowOff>
    </xdr:from>
    <xdr:to>
      <xdr:col>4</xdr:col>
      <xdr:colOff>1588294</xdr:colOff>
      <xdr:row>50</xdr:row>
      <xdr:rowOff>166687</xdr:rowOff>
    </xdr:to>
    <mc:AlternateContent xmlns:mc="http://schemas.openxmlformats.org/markup-compatibility/2006" xmlns:a14="http://schemas.microsoft.com/office/drawing/2010/main">
      <mc:Choice Requires="a14">
        <xdr:graphicFrame macro="">
          <xdr:nvGraphicFramePr>
            <xdr:cNvPr id="6" name="Region 1"/>
            <xdr:cNvGraphicFramePr/>
          </xdr:nvGraphicFramePr>
          <xdr:xfrm>
            <a:off x="0" y="0"/>
            <a:ext cx="0" cy="0"/>
          </xdr:xfrm>
          <a:graphic>
            <a:graphicData uri="http://schemas.microsoft.com/office/drawing/2010/slicer">
              <sle:slicer xmlns:sle="http://schemas.microsoft.com/office/drawing/2010/slicer" name="Region 1"/>
            </a:graphicData>
          </a:graphic>
        </xdr:graphicFrame>
      </mc:Choice>
      <mc:Fallback xmlns="">
        <xdr:sp macro="" textlink="">
          <xdr:nvSpPr>
            <xdr:cNvPr id="0" name=""/>
            <xdr:cNvSpPr>
              <a:spLocks noTextEdit="1"/>
            </xdr:cNvSpPr>
          </xdr:nvSpPr>
          <xdr:spPr>
            <a:xfrm>
              <a:off x="3958828" y="7277695"/>
              <a:ext cx="1826419" cy="256282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461367</xdr:colOff>
      <xdr:row>58</xdr:row>
      <xdr:rowOff>79149</xdr:rowOff>
    </xdr:from>
    <xdr:to>
      <xdr:col>6</xdr:col>
      <xdr:colOff>74802</xdr:colOff>
      <xdr:row>73</xdr:row>
      <xdr:rowOff>26970</xdr:rowOff>
    </xdr:to>
    <xdr:graphicFrame macro="">
      <xdr:nvGraphicFramePr>
        <xdr:cNvPr id="7" name="Chart 6"/>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5</xdr:col>
      <xdr:colOff>493848</xdr:colOff>
      <xdr:row>56</xdr:row>
      <xdr:rowOff>34500</xdr:rowOff>
    </xdr:from>
    <xdr:to>
      <xdr:col>10</xdr:col>
      <xdr:colOff>1048783</xdr:colOff>
      <xdr:row>70</xdr:row>
      <xdr:rowOff>175798</xdr:rowOff>
    </xdr:to>
    <xdr:graphicFrame macro="">
      <xdr:nvGraphicFramePr>
        <xdr:cNvPr id="8" name="Chart 7"/>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8</xdr:col>
      <xdr:colOff>1325993</xdr:colOff>
      <xdr:row>56</xdr:row>
      <xdr:rowOff>46147</xdr:rowOff>
    </xdr:from>
    <xdr:to>
      <xdr:col>15</xdr:col>
      <xdr:colOff>726409</xdr:colOff>
      <xdr:row>70</xdr:row>
      <xdr:rowOff>187445</xdr:rowOff>
    </xdr:to>
    <xdr:graphicFrame macro="">
      <xdr:nvGraphicFramePr>
        <xdr:cNvPr id="9" name="Chart 8"/>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1190625</xdr:colOff>
      <xdr:row>49</xdr:row>
      <xdr:rowOff>34824</xdr:rowOff>
    </xdr:from>
    <xdr:to>
      <xdr:col>5</xdr:col>
      <xdr:colOff>2977</xdr:colOff>
      <xdr:row>63</xdr:row>
      <xdr:rowOff>69353</xdr:rowOff>
    </xdr:to>
    <xdr:graphicFrame macro="">
      <xdr:nvGraphicFramePr>
        <xdr:cNvPr id="10" name="Chart 9"/>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xdr:col>
      <xdr:colOff>1145978</xdr:colOff>
      <xdr:row>36</xdr:row>
      <xdr:rowOff>163712</xdr:rowOff>
    </xdr:from>
    <xdr:to>
      <xdr:col>8</xdr:col>
      <xdr:colOff>1401961</xdr:colOff>
      <xdr:row>51</xdr:row>
      <xdr:rowOff>4763</xdr:rowOff>
    </xdr:to>
    <xdr:graphicFrame macro="">
      <xdr:nvGraphicFramePr>
        <xdr:cNvPr id="11" name="Chart 10"/>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19</xdr:col>
      <xdr:colOff>601266</xdr:colOff>
      <xdr:row>33</xdr:row>
      <xdr:rowOff>64590</xdr:rowOff>
    </xdr:from>
    <xdr:to>
      <xdr:col>23</xdr:col>
      <xdr:colOff>232172</xdr:colOff>
      <xdr:row>47</xdr:row>
      <xdr:rowOff>99119</xdr:rowOff>
    </xdr:to>
    <xdr:graphicFrame macro="">
      <xdr:nvGraphicFramePr>
        <xdr:cNvPr id="12" name="Chart 1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6</xdr:col>
      <xdr:colOff>788789</xdr:colOff>
      <xdr:row>72</xdr:row>
      <xdr:rowOff>119062</xdr:rowOff>
    </xdr:from>
    <xdr:to>
      <xdr:col>10</xdr:col>
      <xdr:colOff>92274</xdr:colOff>
      <xdr:row>86</xdr:row>
      <xdr:rowOff>153591</xdr:rowOff>
    </xdr:to>
    <xdr:graphicFrame macro="">
      <xdr:nvGraphicFramePr>
        <xdr:cNvPr id="13" name="Chart 12"/>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1</xdr:col>
      <xdr:colOff>0</xdr:colOff>
      <xdr:row>3</xdr:row>
      <xdr:rowOff>25400</xdr:rowOff>
    </xdr:from>
    <xdr:to>
      <xdr:col>14</xdr:col>
      <xdr:colOff>19050</xdr:colOff>
      <xdr:row>9</xdr:row>
      <xdr:rowOff>25400</xdr:rowOff>
    </xdr:to>
    <xdr:sp macro="" textlink="">
      <xdr:nvSpPr>
        <xdr:cNvPr id="2" name="TextBox 1">
          <a:extLst>
            <a:ext uri="{FF2B5EF4-FFF2-40B4-BE49-F238E27FC236}">
              <a16:creationId xmlns="" xmlns:a16="http://schemas.microsoft.com/office/drawing/2014/main" id="{BEBDE3F9-747E-F89B-1A42-02FEE20405A0}"/>
            </a:ext>
          </a:extLst>
        </xdr:cNvPr>
        <xdr:cNvSpPr txBox="1"/>
      </xdr:nvSpPr>
      <xdr:spPr>
        <a:xfrm>
          <a:off x="241300" y="825500"/>
          <a:ext cx="7943850" cy="1104900"/>
        </a:xfrm>
        <a:prstGeom prst="rect">
          <a:avLst/>
        </a:prstGeom>
        <a:solidFill>
          <a:schemeClr val="lt1"/>
        </a:solidFill>
        <a:ln w="12700" cmpd="sng">
          <a:solidFill>
            <a:sysClr val="windowText" lastClr="000000"/>
          </a:solidFill>
          <a:prstDash val="sysDash"/>
        </a:ln>
        <a:scene3d>
          <a:camera prst="orthographicFront"/>
          <a:lightRig rig="threePt" dir="t"/>
        </a:scene3d>
        <a:sp3d>
          <a:bevelT/>
        </a:sp3d>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defTabSz="914400" eaLnBrk="1" fontAlgn="auto" latinLnBrk="0" hangingPunct="1">
            <a:lnSpc>
              <a:spcPct val="100000"/>
            </a:lnSpc>
            <a:spcBef>
              <a:spcPts val="0"/>
            </a:spcBef>
            <a:spcAft>
              <a:spcPts val="0"/>
            </a:spcAft>
            <a:buClrTx/>
            <a:buSzTx/>
            <a:buFontTx/>
            <a:buNone/>
            <a:tabLst/>
            <a:defRPr/>
          </a:pPr>
          <a:r>
            <a:rPr lang="en-US" sz="1600">
              <a:solidFill>
                <a:schemeClr val="dk1"/>
              </a:solidFill>
              <a:effectLst/>
              <a:latin typeface="+mn-lt"/>
              <a:ea typeface="+mn-ea"/>
              <a:cs typeface="+mn-cs"/>
            </a:rPr>
            <a:t>D-Lite Electronics Ltd. operates across four major regions in Nigeria: North, South, East, and West. The company’s sales data is inconsistent and often contains errors. As a Data Analyst, your task is to clean, analyse, and visualise the data to support management decision-making leveraging</a:t>
          </a:r>
          <a:r>
            <a:rPr lang="en-US" sz="1600" baseline="0">
              <a:solidFill>
                <a:schemeClr val="dk1"/>
              </a:solidFill>
              <a:effectLst/>
              <a:latin typeface="+mn-lt"/>
              <a:ea typeface="+mn-ea"/>
              <a:cs typeface="+mn-cs"/>
            </a:rPr>
            <a:t> all the concepts learnt during the training</a:t>
          </a:r>
          <a:r>
            <a:rPr lang="en-US" sz="1600">
              <a:solidFill>
                <a:schemeClr val="dk1"/>
              </a:solidFill>
              <a:effectLst/>
              <a:latin typeface="+mn-lt"/>
              <a:ea typeface="+mn-ea"/>
              <a:cs typeface="+mn-cs"/>
            </a:rPr>
            <a:t>.</a:t>
          </a:r>
        </a:p>
        <a:p>
          <a:endParaRPr lang="en-US" sz="1600"/>
        </a:p>
      </xdr:txBody>
    </xdr: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r:id="rId1" refreshedBy="USER" refreshedDate="46030.171343865739" createdVersion="5" refreshedVersion="5" minRefreshableVersion="3" recordCount="100">
  <cacheSource type="worksheet">
    <worksheetSource name="Table1"/>
  </cacheSource>
  <cacheFields count="10">
    <cacheField name="Date" numFmtId="164">
      <sharedItems containsSemiMixedTypes="0" containsNonDate="0" containsDate="1" containsString="0" minDate="2025-01-04T00:00:00" maxDate="2025-07-01T00:00:00" count="77">
        <d v="2025-05-06T00:00:00"/>
        <d v="2025-03-15T00:00:00"/>
        <d v="2025-06-27T00:00:00"/>
        <d v="2025-01-31T00:00:00"/>
        <d v="2025-02-13T00:00:00"/>
        <d v="2025-05-12T00:00:00"/>
        <d v="2025-02-10T00:00:00"/>
        <d v="2025-01-30T00:00:00"/>
        <d v="2025-01-28T00:00:00"/>
        <d v="2025-04-15T00:00:00"/>
        <d v="2025-03-19T00:00:00"/>
        <d v="2025-01-06T00:00:00"/>
        <d v="2025-06-02T00:00:00"/>
        <d v="2025-01-12T00:00:00"/>
        <d v="2025-04-01T00:00:00"/>
        <d v="2025-04-07T00:00:00"/>
        <d v="2025-06-13T00:00:00"/>
        <d v="2025-02-19T00:00:00"/>
        <d v="2025-02-06T00:00:00"/>
        <d v="2025-02-22T00:00:00"/>
        <d v="2025-05-26T00:00:00"/>
        <d v="2025-02-25T00:00:00"/>
        <d v="2025-01-16T00:00:00"/>
        <d v="2025-02-20T00:00:00"/>
        <d v="2025-04-29T00:00:00"/>
        <d v="2025-05-02T00:00:00"/>
        <d v="2025-04-08T00:00:00"/>
        <d v="2025-02-02T00:00:00"/>
        <d v="2025-01-27T00:00:00"/>
        <d v="2025-01-13T00:00:00"/>
        <d v="2025-02-24T00:00:00"/>
        <d v="2025-04-06T00:00:00"/>
        <d v="2025-06-15T00:00:00"/>
        <d v="2025-02-07T00:00:00"/>
        <d v="2025-02-26T00:00:00"/>
        <d v="2025-05-13T00:00:00"/>
        <d v="2025-05-05T00:00:00"/>
        <d v="2025-05-21T00:00:00"/>
        <d v="2025-01-29T00:00:00"/>
        <d v="2025-04-10T00:00:00"/>
        <d v="2025-02-05T00:00:00"/>
        <d v="2025-01-14T00:00:00"/>
        <d v="2025-03-24T00:00:00"/>
        <d v="2025-05-07T00:00:00"/>
        <d v="2025-03-08T00:00:00"/>
        <d v="2025-06-17T00:00:00"/>
        <d v="2025-03-03T00:00:00"/>
        <d v="2025-05-25T00:00:00"/>
        <d v="2025-01-04T00:00:00"/>
        <d v="2025-06-12T00:00:00"/>
        <d v="2025-03-26T00:00:00"/>
        <d v="2025-05-11T00:00:00"/>
        <d v="2025-06-29T00:00:00"/>
        <d v="2025-02-16T00:00:00"/>
        <d v="2025-05-17T00:00:00"/>
        <d v="2025-06-01T00:00:00"/>
        <d v="2025-06-03T00:00:00"/>
        <d v="2025-06-07T00:00:00"/>
        <d v="2025-05-19T00:00:00"/>
        <d v="2025-02-28T00:00:00"/>
        <d v="2025-02-01T00:00:00"/>
        <d v="2025-04-05T00:00:00"/>
        <d v="2025-05-28T00:00:00"/>
        <d v="2025-04-18T00:00:00"/>
        <d v="2025-01-23T00:00:00"/>
        <d v="2025-01-09T00:00:00"/>
        <d v="2025-03-07T00:00:00"/>
        <d v="2025-06-26T00:00:00"/>
        <d v="2025-01-11T00:00:00"/>
        <d v="2025-05-27T00:00:00"/>
        <d v="2025-04-14T00:00:00"/>
        <d v="2025-06-28T00:00:00"/>
        <d v="2025-04-04T00:00:00"/>
        <d v="2025-06-30T00:00:00"/>
        <d v="2025-05-29T00:00:00"/>
        <d v="2025-03-09T00:00:00"/>
        <d v="2025-05-10T00:00:00"/>
      </sharedItems>
      <fieldGroup par="9" base="0">
        <rangePr groupBy="months" startDate="2025-01-04T00:00:00" endDate="2025-07-01T00:00:00"/>
        <groupItems count="14">
          <s v="&lt;04-01-25"/>
          <s v="Jan"/>
          <s v="Feb"/>
          <s v="Mar"/>
          <s v="Apr"/>
          <s v="May"/>
          <s v="Jun"/>
          <s v="Jul"/>
          <s v="Aug"/>
          <s v="Sep"/>
          <s v="Oct"/>
          <s v="Nov"/>
          <s v="Dec"/>
          <s v="&gt;01-07-25"/>
        </groupItems>
      </fieldGroup>
    </cacheField>
    <cacheField name="Region" numFmtId="0">
      <sharedItems count="4">
        <s v="West"/>
        <s v="South"/>
        <s v="North"/>
        <s v="East"/>
      </sharedItems>
    </cacheField>
    <cacheField name="Product" numFmtId="0">
      <sharedItems count="7">
        <s v="Tv 43Q"/>
        <s v="Camera C100"/>
        <s v="Laptop A15"/>
        <s v="Monitor M24"/>
        <s v="Phone X12"/>
        <s v="Speaker S10"/>
        <s v="Tablet T8"/>
      </sharedItems>
    </cacheField>
    <cacheField name="Category" numFmtId="0">
      <sharedItems count="7">
        <s v="Peripherals"/>
        <s v="Audio"/>
        <s v="Computers"/>
        <s v="Electronics"/>
        <s v="Mobile"/>
        <s v="Photography"/>
        <s v="Pheriperals" u="1"/>
      </sharedItems>
    </cacheField>
    <cacheField name="Units Sold" numFmtId="0">
      <sharedItems containsSemiMixedTypes="0" containsString="0" containsNumber="1" containsInteger="1" minValue="1" maxValue="20"/>
    </cacheField>
    <cacheField name="Unit Price" numFmtId="165">
      <sharedItems containsSemiMixedTypes="0" containsString="0" containsNumber="1" containsInteger="1" minValue="65000" maxValue="2500000"/>
    </cacheField>
    <cacheField name="Total sales" numFmtId="165">
      <sharedItems containsSemiMixedTypes="0" containsString="0" containsNumber="1" containsInteger="1" minValue="59500" maxValue="50000000" count="77">
        <n v="650000"/>
        <n v="1105000"/>
        <n v="510000"/>
        <n v="5000000"/>
        <n v="1050000"/>
        <n v="1620000"/>
        <n v="3000000"/>
        <n v="595000"/>
        <n v="850000"/>
        <n v="1250000"/>
        <n v="1200000"/>
        <n v="600000"/>
        <n v="150000"/>
        <n v="1750000"/>
        <n v="450000"/>
        <n v="325000"/>
        <n v="3250000"/>
        <n v="4550000"/>
        <n v="5950000"/>
        <n v="715000"/>
        <n v="170000"/>
        <n v="3500000"/>
        <n v="3850000"/>
        <n v="6300000"/>
        <n v="5250000"/>
        <n v="4900000"/>
        <n v="750000"/>
        <n v="1170000"/>
        <n v="875000"/>
        <n v="2100000"/>
        <n v="1500000"/>
        <n v="2750000"/>
        <n v="2700000"/>
        <n v="845000"/>
        <n v="2550000"/>
        <n v="1800000"/>
        <n v="2450000"/>
        <n v="624631"/>
        <n v="935000"/>
        <n v="4750000"/>
        <n v="1235000"/>
        <n v="425000"/>
        <n v="50000000"/>
        <n v="1950000"/>
        <n v="525000"/>
        <n v="3150000"/>
        <n v="1400000"/>
        <n v="2800000"/>
        <n v="2400000"/>
        <n v="1530000"/>
        <n v="2850000"/>
        <n v="2975000"/>
        <n v="6650000"/>
        <n v="1650000"/>
        <n v="1350000"/>
        <n v="260000"/>
        <n v="3325000"/>
        <n v="350000"/>
        <n v="20000000"/>
        <n v="7000000"/>
        <n v="900000"/>
        <n v="300000"/>
        <n v="780000"/>
        <n v="2340000" u="1"/>
        <n v="11700000" u="1"/>
        <n v="1440000" u="1"/>
        <n v="630000" u="1"/>
        <n v="720000" u="1"/>
        <n v="130000" u="1"/>
        <n v="294960" u="1"/>
        <n v="2520000" u="1"/>
        <n v="125000" u="1"/>
        <n v="2991113" u="1"/>
        <n v="682385" u="1"/>
        <n v="27500000" u="1"/>
        <n v="59500" u="1"/>
        <n v="752856" u="1"/>
      </sharedItems>
    </cacheField>
    <cacheField name="Sales Rep" numFmtId="0">
      <sharedItems count="10">
        <s v="Aba Joel"/>
        <s v="Aisha Bello"/>
        <s v="Chinedu Nwosu"/>
        <s v="Fola Balogun"/>
        <s v="Grace Amos"/>
        <s v="Ifeanyi OKafor"/>
        <s v="Job Austin"/>
        <s v="Mary John"/>
        <s v="Peter Obi"/>
        <s v="Praise Odunayo"/>
      </sharedItems>
    </cacheField>
    <cacheField name="Customer" numFmtId="0">
      <sharedItems count="14">
        <s v="Adewale Stores"/>
        <s v="Alpha Retailers"/>
        <s v="Bright Solutions"/>
        <s v="Chika Mart"/>
        <s v="Emeka Traders"/>
        <s v="Femi Tech"/>
        <s v="Jide Superstores"/>
        <s v="Kelvin Tech"/>
        <s v="Maryam Ltd"/>
        <s v="Musa Enterprises"/>
        <s v="Omega Wholesale"/>
        <s v="Tope &amp; Sons"/>
        <s v="Tola Ventures"/>
        <s v="Zainab Global"/>
      </sharedItems>
    </cacheField>
    <cacheField name="Quarters" numFmtId="0" databaseField="0">
      <fieldGroup base="0">
        <rangePr groupBy="quarters" startDate="2025-01-04T00:00:00" endDate="2025-07-01T00:00:00"/>
        <groupItems count="6">
          <s v="&lt;04-01-25"/>
          <s v="Qtr1"/>
          <s v="Qtr2"/>
          <s v="Qtr3"/>
          <s v="Qtr4"/>
          <s v="&gt;01-07-25"/>
        </groupItems>
      </fieldGroup>
    </cacheField>
  </cacheFields>
  <extLst>
    <ext xmlns:x14="http://schemas.microsoft.com/office/spreadsheetml/2009/9/main" uri="{725AE2AE-9491-48be-B2B4-4EB974FC3084}">
      <x14:pivotCacheDefinition pivotCacheId="1"/>
    </ext>
  </extLst>
</pivotCacheDefinition>
</file>

<file path=xl/pivotCache/pivotCacheRecords1.xml><?xml version="1.0" encoding="utf-8"?>
<pivotCacheRecords xmlns="http://schemas.openxmlformats.org/spreadsheetml/2006/main" xmlns:r="http://schemas.openxmlformats.org/officeDocument/2006/relationships" count="100">
  <r>
    <x v="0"/>
    <x v="0"/>
    <x v="0"/>
    <x v="0"/>
    <n v="10"/>
    <n v="65000"/>
    <x v="0"/>
    <x v="0"/>
    <x v="0"/>
  </r>
  <r>
    <x v="1"/>
    <x v="1"/>
    <x v="1"/>
    <x v="1"/>
    <n v="13"/>
    <n v="85000"/>
    <x v="1"/>
    <x v="1"/>
    <x v="0"/>
  </r>
  <r>
    <x v="2"/>
    <x v="2"/>
    <x v="1"/>
    <x v="1"/>
    <n v="6"/>
    <n v="85000"/>
    <x v="2"/>
    <x v="1"/>
    <x v="0"/>
  </r>
  <r>
    <x v="3"/>
    <x v="2"/>
    <x v="2"/>
    <x v="2"/>
    <n v="20"/>
    <n v="250000"/>
    <x v="3"/>
    <x v="1"/>
    <x v="1"/>
  </r>
  <r>
    <x v="4"/>
    <x v="0"/>
    <x v="2"/>
    <x v="3"/>
    <n v="3"/>
    <n v="350000"/>
    <x v="4"/>
    <x v="1"/>
    <x v="1"/>
  </r>
  <r>
    <x v="5"/>
    <x v="0"/>
    <x v="2"/>
    <x v="4"/>
    <n v="9"/>
    <n v="180000"/>
    <x v="5"/>
    <x v="1"/>
    <x v="1"/>
  </r>
  <r>
    <x v="6"/>
    <x v="0"/>
    <x v="3"/>
    <x v="4"/>
    <n v="20"/>
    <n v="150000"/>
    <x v="6"/>
    <x v="1"/>
    <x v="1"/>
  </r>
  <r>
    <x v="7"/>
    <x v="3"/>
    <x v="3"/>
    <x v="1"/>
    <n v="7"/>
    <n v="85000"/>
    <x v="7"/>
    <x v="1"/>
    <x v="1"/>
  </r>
  <r>
    <x v="8"/>
    <x v="0"/>
    <x v="4"/>
    <x v="1"/>
    <n v="10"/>
    <n v="85000"/>
    <x v="8"/>
    <x v="1"/>
    <x v="1"/>
  </r>
  <r>
    <x v="9"/>
    <x v="1"/>
    <x v="5"/>
    <x v="2"/>
    <n v="5"/>
    <n v="250000"/>
    <x v="9"/>
    <x v="1"/>
    <x v="1"/>
  </r>
  <r>
    <x v="10"/>
    <x v="1"/>
    <x v="6"/>
    <x v="4"/>
    <n v="8"/>
    <n v="150000"/>
    <x v="10"/>
    <x v="1"/>
    <x v="2"/>
  </r>
  <r>
    <x v="11"/>
    <x v="1"/>
    <x v="6"/>
    <x v="4"/>
    <n v="4"/>
    <n v="150000"/>
    <x v="11"/>
    <x v="1"/>
    <x v="2"/>
  </r>
  <r>
    <x v="12"/>
    <x v="2"/>
    <x v="6"/>
    <x v="4"/>
    <n v="1"/>
    <n v="150000"/>
    <x v="12"/>
    <x v="1"/>
    <x v="2"/>
  </r>
  <r>
    <x v="13"/>
    <x v="2"/>
    <x v="0"/>
    <x v="5"/>
    <n v="10"/>
    <n v="175000"/>
    <x v="13"/>
    <x v="1"/>
    <x v="2"/>
  </r>
  <r>
    <x v="14"/>
    <x v="0"/>
    <x v="6"/>
    <x v="4"/>
    <n v="3"/>
    <n v="150000"/>
    <x v="14"/>
    <x v="1"/>
    <x v="2"/>
  </r>
  <r>
    <x v="15"/>
    <x v="1"/>
    <x v="0"/>
    <x v="0"/>
    <n v="5"/>
    <n v="65000"/>
    <x v="15"/>
    <x v="1"/>
    <x v="2"/>
  </r>
  <r>
    <x v="16"/>
    <x v="1"/>
    <x v="2"/>
    <x v="2"/>
    <n v="13"/>
    <n v="250000"/>
    <x v="16"/>
    <x v="2"/>
    <x v="2"/>
  </r>
  <r>
    <x v="17"/>
    <x v="3"/>
    <x v="2"/>
    <x v="3"/>
    <n v="13"/>
    <n v="350000"/>
    <x v="17"/>
    <x v="2"/>
    <x v="2"/>
  </r>
  <r>
    <x v="18"/>
    <x v="0"/>
    <x v="2"/>
    <x v="3"/>
    <n v="17"/>
    <n v="350000"/>
    <x v="18"/>
    <x v="2"/>
    <x v="3"/>
  </r>
  <r>
    <x v="19"/>
    <x v="3"/>
    <x v="3"/>
    <x v="0"/>
    <n v="11"/>
    <n v="65000"/>
    <x v="19"/>
    <x v="2"/>
    <x v="3"/>
  </r>
  <r>
    <x v="20"/>
    <x v="3"/>
    <x v="4"/>
    <x v="1"/>
    <n v="2"/>
    <n v="85000"/>
    <x v="20"/>
    <x v="2"/>
    <x v="3"/>
  </r>
  <r>
    <x v="21"/>
    <x v="2"/>
    <x v="5"/>
    <x v="2"/>
    <n v="14"/>
    <n v="250000"/>
    <x v="21"/>
    <x v="2"/>
    <x v="3"/>
  </r>
  <r>
    <x v="22"/>
    <x v="2"/>
    <x v="5"/>
    <x v="3"/>
    <n v="11"/>
    <n v="350000"/>
    <x v="22"/>
    <x v="2"/>
    <x v="3"/>
  </r>
  <r>
    <x v="22"/>
    <x v="3"/>
    <x v="5"/>
    <x v="3"/>
    <n v="18"/>
    <n v="350000"/>
    <x v="23"/>
    <x v="2"/>
    <x v="3"/>
  </r>
  <r>
    <x v="23"/>
    <x v="0"/>
    <x v="5"/>
    <x v="3"/>
    <n v="15"/>
    <n v="350000"/>
    <x v="24"/>
    <x v="2"/>
    <x v="3"/>
  </r>
  <r>
    <x v="24"/>
    <x v="0"/>
    <x v="6"/>
    <x v="3"/>
    <n v="14"/>
    <n v="350000"/>
    <x v="25"/>
    <x v="2"/>
    <x v="3"/>
  </r>
  <r>
    <x v="25"/>
    <x v="0"/>
    <x v="6"/>
    <x v="4"/>
    <n v="5"/>
    <n v="150000"/>
    <x v="26"/>
    <x v="2"/>
    <x v="4"/>
  </r>
  <r>
    <x v="26"/>
    <x v="3"/>
    <x v="0"/>
    <x v="0"/>
    <n v="17"/>
    <n v="65000"/>
    <x v="1"/>
    <x v="2"/>
    <x v="4"/>
  </r>
  <r>
    <x v="27"/>
    <x v="3"/>
    <x v="0"/>
    <x v="0"/>
    <n v="11"/>
    <n v="65000"/>
    <x v="19"/>
    <x v="2"/>
    <x v="4"/>
  </r>
  <r>
    <x v="18"/>
    <x v="0"/>
    <x v="0"/>
    <x v="0"/>
    <n v="18"/>
    <n v="65000"/>
    <x v="27"/>
    <x v="2"/>
    <x v="4"/>
  </r>
  <r>
    <x v="28"/>
    <x v="1"/>
    <x v="0"/>
    <x v="0"/>
    <n v="18"/>
    <n v="65000"/>
    <x v="27"/>
    <x v="2"/>
    <x v="4"/>
  </r>
  <r>
    <x v="18"/>
    <x v="1"/>
    <x v="0"/>
    <x v="5"/>
    <n v="5"/>
    <n v="175000"/>
    <x v="28"/>
    <x v="2"/>
    <x v="4"/>
  </r>
  <r>
    <x v="29"/>
    <x v="0"/>
    <x v="0"/>
    <x v="5"/>
    <n v="12"/>
    <n v="175000"/>
    <x v="29"/>
    <x v="2"/>
    <x v="4"/>
  </r>
  <r>
    <x v="17"/>
    <x v="0"/>
    <x v="6"/>
    <x v="4"/>
    <n v="10"/>
    <n v="150000"/>
    <x v="30"/>
    <x v="2"/>
    <x v="5"/>
  </r>
  <r>
    <x v="3"/>
    <x v="3"/>
    <x v="1"/>
    <x v="4"/>
    <n v="20"/>
    <n v="150000"/>
    <x v="6"/>
    <x v="3"/>
    <x v="5"/>
  </r>
  <r>
    <x v="30"/>
    <x v="3"/>
    <x v="1"/>
    <x v="4"/>
    <n v="20"/>
    <n v="150000"/>
    <x v="6"/>
    <x v="3"/>
    <x v="5"/>
  </r>
  <r>
    <x v="31"/>
    <x v="3"/>
    <x v="2"/>
    <x v="2"/>
    <n v="11"/>
    <n v="250000"/>
    <x v="31"/>
    <x v="3"/>
    <x v="5"/>
  </r>
  <r>
    <x v="32"/>
    <x v="1"/>
    <x v="2"/>
    <x v="2"/>
    <n v="20"/>
    <n v="250000"/>
    <x v="3"/>
    <x v="3"/>
    <x v="5"/>
  </r>
  <r>
    <x v="31"/>
    <x v="1"/>
    <x v="3"/>
    <x v="4"/>
    <n v="18"/>
    <n v="150000"/>
    <x v="32"/>
    <x v="3"/>
    <x v="5"/>
  </r>
  <r>
    <x v="33"/>
    <x v="1"/>
    <x v="3"/>
    <x v="0"/>
    <n v="13"/>
    <n v="65000"/>
    <x v="33"/>
    <x v="3"/>
    <x v="5"/>
  </r>
  <r>
    <x v="34"/>
    <x v="1"/>
    <x v="3"/>
    <x v="1"/>
    <n v="6"/>
    <n v="85000"/>
    <x v="2"/>
    <x v="3"/>
    <x v="5"/>
  </r>
  <r>
    <x v="23"/>
    <x v="1"/>
    <x v="5"/>
    <x v="3"/>
    <n v="13"/>
    <n v="350000"/>
    <x v="17"/>
    <x v="3"/>
    <x v="5"/>
  </r>
  <r>
    <x v="27"/>
    <x v="0"/>
    <x v="6"/>
    <x v="4"/>
    <n v="14"/>
    <n v="150000"/>
    <x v="29"/>
    <x v="3"/>
    <x v="5"/>
  </r>
  <r>
    <x v="26"/>
    <x v="1"/>
    <x v="6"/>
    <x v="4"/>
    <n v="17"/>
    <n v="150000"/>
    <x v="34"/>
    <x v="3"/>
    <x v="5"/>
  </r>
  <r>
    <x v="35"/>
    <x v="0"/>
    <x v="6"/>
    <x v="4"/>
    <n v="12"/>
    <n v="150000"/>
    <x v="35"/>
    <x v="3"/>
    <x v="5"/>
  </r>
  <r>
    <x v="36"/>
    <x v="2"/>
    <x v="0"/>
    <x v="5"/>
    <n v="14"/>
    <n v="175000"/>
    <x v="36"/>
    <x v="3"/>
    <x v="5"/>
  </r>
  <r>
    <x v="37"/>
    <x v="3"/>
    <x v="0"/>
    <x v="5"/>
    <n v="10"/>
    <n v="175000"/>
    <x v="13"/>
    <x v="3"/>
    <x v="6"/>
  </r>
  <r>
    <x v="38"/>
    <x v="2"/>
    <x v="4"/>
    <x v="1"/>
    <n v="7"/>
    <n v="89233"/>
    <x v="37"/>
    <x v="3"/>
    <x v="6"/>
  </r>
  <r>
    <x v="39"/>
    <x v="3"/>
    <x v="1"/>
    <x v="1"/>
    <n v="11"/>
    <n v="85000"/>
    <x v="38"/>
    <x v="4"/>
    <x v="6"/>
  </r>
  <r>
    <x v="40"/>
    <x v="1"/>
    <x v="2"/>
    <x v="2"/>
    <n v="19"/>
    <n v="250000"/>
    <x v="39"/>
    <x v="4"/>
    <x v="6"/>
  </r>
  <r>
    <x v="41"/>
    <x v="0"/>
    <x v="3"/>
    <x v="0"/>
    <n v="19"/>
    <n v="65000"/>
    <x v="40"/>
    <x v="4"/>
    <x v="6"/>
  </r>
  <r>
    <x v="42"/>
    <x v="0"/>
    <x v="3"/>
    <x v="0"/>
    <n v="18"/>
    <n v="65000"/>
    <x v="27"/>
    <x v="4"/>
    <x v="6"/>
  </r>
  <r>
    <x v="43"/>
    <x v="2"/>
    <x v="4"/>
    <x v="1"/>
    <n v="5"/>
    <n v="85000"/>
    <x v="41"/>
    <x v="4"/>
    <x v="7"/>
  </r>
  <r>
    <x v="44"/>
    <x v="2"/>
    <x v="4"/>
    <x v="2"/>
    <n v="20"/>
    <n v="2500000"/>
    <x v="42"/>
    <x v="4"/>
    <x v="7"/>
  </r>
  <r>
    <x v="45"/>
    <x v="3"/>
    <x v="5"/>
    <x v="3"/>
    <n v="14"/>
    <n v="350000"/>
    <x v="25"/>
    <x v="4"/>
    <x v="7"/>
  </r>
  <r>
    <x v="46"/>
    <x v="3"/>
    <x v="6"/>
    <x v="4"/>
    <n v="1"/>
    <n v="150000"/>
    <x v="12"/>
    <x v="4"/>
    <x v="7"/>
  </r>
  <r>
    <x v="34"/>
    <x v="1"/>
    <x v="6"/>
    <x v="4"/>
    <n v="13"/>
    <n v="150000"/>
    <x v="43"/>
    <x v="4"/>
    <x v="7"/>
  </r>
  <r>
    <x v="47"/>
    <x v="3"/>
    <x v="6"/>
    <x v="4"/>
    <n v="1"/>
    <n v="150000"/>
    <x v="12"/>
    <x v="4"/>
    <x v="7"/>
  </r>
  <r>
    <x v="48"/>
    <x v="0"/>
    <x v="0"/>
    <x v="5"/>
    <n v="3"/>
    <n v="175000"/>
    <x v="44"/>
    <x v="4"/>
    <x v="7"/>
  </r>
  <r>
    <x v="45"/>
    <x v="1"/>
    <x v="0"/>
    <x v="5"/>
    <n v="18"/>
    <n v="175000"/>
    <x v="45"/>
    <x v="4"/>
    <x v="7"/>
  </r>
  <r>
    <x v="11"/>
    <x v="2"/>
    <x v="2"/>
    <x v="2"/>
    <n v="13"/>
    <n v="250000"/>
    <x v="16"/>
    <x v="4"/>
    <x v="8"/>
  </r>
  <r>
    <x v="49"/>
    <x v="3"/>
    <x v="3"/>
    <x v="4"/>
    <n v="18"/>
    <n v="150000"/>
    <x v="32"/>
    <x v="4"/>
    <x v="8"/>
  </r>
  <r>
    <x v="50"/>
    <x v="3"/>
    <x v="5"/>
    <x v="3"/>
    <n v="4"/>
    <n v="350000"/>
    <x v="46"/>
    <x v="4"/>
    <x v="8"/>
  </r>
  <r>
    <x v="51"/>
    <x v="3"/>
    <x v="1"/>
    <x v="2"/>
    <n v="20"/>
    <n v="250000"/>
    <x v="3"/>
    <x v="5"/>
    <x v="8"/>
  </r>
  <r>
    <x v="52"/>
    <x v="2"/>
    <x v="1"/>
    <x v="0"/>
    <n v="18"/>
    <n v="65000"/>
    <x v="27"/>
    <x v="5"/>
    <x v="8"/>
  </r>
  <r>
    <x v="53"/>
    <x v="3"/>
    <x v="1"/>
    <x v="1"/>
    <n v="2"/>
    <n v="85000"/>
    <x v="20"/>
    <x v="5"/>
    <x v="8"/>
  </r>
  <r>
    <x v="40"/>
    <x v="1"/>
    <x v="2"/>
    <x v="3"/>
    <n v="8"/>
    <n v="350000"/>
    <x v="47"/>
    <x v="5"/>
    <x v="9"/>
  </r>
  <r>
    <x v="54"/>
    <x v="1"/>
    <x v="3"/>
    <x v="4"/>
    <n v="16"/>
    <n v="150000"/>
    <x v="48"/>
    <x v="5"/>
    <x v="9"/>
  </r>
  <r>
    <x v="41"/>
    <x v="0"/>
    <x v="3"/>
    <x v="1"/>
    <n v="18"/>
    <n v="85000"/>
    <x v="49"/>
    <x v="5"/>
    <x v="9"/>
  </r>
  <r>
    <x v="55"/>
    <x v="3"/>
    <x v="5"/>
    <x v="3"/>
    <n v="6"/>
    <n v="350000"/>
    <x v="29"/>
    <x v="5"/>
    <x v="9"/>
  </r>
  <r>
    <x v="42"/>
    <x v="3"/>
    <x v="6"/>
    <x v="4"/>
    <n v="19"/>
    <n v="150000"/>
    <x v="50"/>
    <x v="5"/>
    <x v="9"/>
  </r>
  <r>
    <x v="56"/>
    <x v="2"/>
    <x v="6"/>
    <x v="4"/>
    <n v="8"/>
    <n v="150000"/>
    <x v="10"/>
    <x v="5"/>
    <x v="9"/>
  </r>
  <r>
    <x v="57"/>
    <x v="1"/>
    <x v="0"/>
    <x v="5"/>
    <n v="17"/>
    <n v="175000"/>
    <x v="51"/>
    <x v="5"/>
    <x v="9"/>
  </r>
  <r>
    <x v="58"/>
    <x v="1"/>
    <x v="5"/>
    <x v="3"/>
    <n v="19"/>
    <n v="350000"/>
    <x v="52"/>
    <x v="5"/>
    <x v="9"/>
  </r>
  <r>
    <x v="59"/>
    <x v="3"/>
    <x v="5"/>
    <x v="3"/>
    <n v="15"/>
    <n v="350000"/>
    <x v="24"/>
    <x v="6"/>
    <x v="9"/>
  </r>
  <r>
    <x v="60"/>
    <x v="3"/>
    <x v="1"/>
    <x v="3"/>
    <n v="17"/>
    <n v="350000"/>
    <x v="18"/>
    <x v="7"/>
    <x v="9"/>
  </r>
  <r>
    <x v="47"/>
    <x v="0"/>
    <x v="1"/>
    <x v="4"/>
    <n v="11"/>
    <n v="150000"/>
    <x v="53"/>
    <x v="7"/>
    <x v="9"/>
  </r>
  <r>
    <x v="41"/>
    <x v="3"/>
    <x v="2"/>
    <x v="2"/>
    <n v="3"/>
    <n v="250000"/>
    <x v="26"/>
    <x v="7"/>
    <x v="10"/>
  </r>
  <r>
    <x v="61"/>
    <x v="3"/>
    <x v="2"/>
    <x v="2"/>
    <n v="5"/>
    <n v="250000"/>
    <x v="9"/>
    <x v="7"/>
    <x v="10"/>
  </r>
  <r>
    <x v="62"/>
    <x v="2"/>
    <x v="6"/>
    <x v="4"/>
    <n v="4"/>
    <n v="150000"/>
    <x v="11"/>
    <x v="7"/>
    <x v="10"/>
  </r>
  <r>
    <x v="21"/>
    <x v="2"/>
    <x v="6"/>
    <x v="4"/>
    <n v="9"/>
    <n v="150000"/>
    <x v="54"/>
    <x v="7"/>
    <x v="10"/>
  </r>
  <r>
    <x v="63"/>
    <x v="1"/>
    <x v="6"/>
    <x v="4"/>
    <n v="10"/>
    <n v="150000"/>
    <x v="30"/>
    <x v="7"/>
    <x v="10"/>
  </r>
  <r>
    <x v="60"/>
    <x v="1"/>
    <x v="0"/>
    <x v="0"/>
    <n v="4"/>
    <n v="65000"/>
    <x v="55"/>
    <x v="7"/>
    <x v="10"/>
  </r>
  <r>
    <x v="64"/>
    <x v="2"/>
    <x v="0"/>
    <x v="5"/>
    <n v="19"/>
    <n v="175000"/>
    <x v="56"/>
    <x v="7"/>
    <x v="10"/>
  </r>
  <r>
    <x v="65"/>
    <x v="3"/>
    <x v="6"/>
    <x v="4"/>
    <n v="3"/>
    <n v="150000"/>
    <x v="14"/>
    <x v="7"/>
    <x v="10"/>
  </r>
  <r>
    <x v="66"/>
    <x v="3"/>
    <x v="1"/>
    <x v="5"/>
    <n v="20"/>
    <n v="175000"/>
    <x v="21"/>
    <x v="7"/>
    <x v="10"/>
  </r>
  <r>
    <x v="34"/>
    <x v="2"/>
    <x v="1"/>
    <x v="4"/>
    <n v="4"/>
    <n v="150000"/>
    <x v="11"/>
    <x v="8"/>
    <x v="11"/>
  </r>
  <r>
    <x v="67"/>
    <x v="3"/>
    <x v="1"/>
    <x v="5"/>
    <n v="2"/>
    <n v="175000"/>
    <x v="57"/>
    <x v="8"/>
    <x v="12"/>
  </r>
  <r>
    <x v="68"/>
    <x v="0"/>
    <x v="3"/>
    <x v="5"/>
    <n v="8"/>
    <n v="175000"/>
    <x v="46"/>
    <x v="8"/>
    <x v="12"/>
  </r>
  <r>
    <x v="29"/>
    <x v="1"/>
    <x v="4"/>
    <x v="1"/>
    <n v="18"/>
    <n v="85000"/>
    <x v="49"/>
    <x v="8"/>
    <x v="12"/>
  </r>
  <r>
    <x v="69"/>
    <x v="3"/>
    <x v="4"/>
    <x v="2"/>
    <n v="8"/>
    <n v="2500000"/>
    <x v="58"/>
    <x v="8"/>
    <x v="12"/>
  </r>
  <r>
    <x v="70"/>
    <x v="1"/>
    <x v="5"/>
    <x v="3"/>
    <n v="8"/>
    <n v="350000"/>
    <x v="47"/>
    <x v="8"/>
    <x v="12"/>
  </r>
  <r>
    <x v="71"/>
    <x v="0"/>
    <x v="6"/>
    <x v="3"/>
    <n v="20"/>
    <n v="350000"/>
    <x v="59"/>
    <x v="8"/>
    <x v="11"/>
  </r>
  <r>
    <x v="72"/>
    <x v="3"/>
    <x v="6"/>
    <x v="4"/>
    <n v="6"/>
    <n v="150000"/>
    <x v="60"/>
    <x v="8"/>
    <x v="11"/>
  </r>
  <r>
    <x v="64"/>
    <x v="3"/>
    <x v="6"/>
    <x v="0"/>
    <n v="2"/>
    <n v="150000"/>
    <x v="61"/>
    <x v="8"/>
    <x v="11"/>
  </r>
  <r>
    <x v="45"/>
    <x v="0"/>
    <x v="0"/>
    <x v="0"/>
    <n v="12"/>
    <n v="65000"/>
    <x v="62"/>
    <x v="8"/>
    <x v="11"/>
  </r>
  <r>
    <x v="73"/>
    <x v="3"/>
    <x v="0"/>
    <x v="5"/>
    <n v="8"/>
    <n v="175000"/>
    <x v="46"/>
    <x v="8"/>
    <x v="13"/>
  </r>
  <r>
    <x v="74"/>
    <x v="3"/>
    <x v="4"/>
    <x v="2"/>
    <n v="20"/>
    <n v="2500000"/>
    <x v="42"/>
    <x v="8"/>
    <x v="13"/>
  </r>
  <r>
    <x v="75"/>
    <x v="3"/>
    <x v="2"/>
    <x v="4"/>
    <n v="5"/>
    <n v="180000"/>
    <x v="60"/>
    <x v="8"/>
    <x v="13"/>
  </r>
  <r>
    <x v="76"/>
    <x v="2"/>
    <x v="3"/>
    <x v="4"/>
    <n v="19"/>
    <n v="150000"/>
    <x v="50"/>
    <x v="9"/>
    <x v="13"/>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name="PivotTable22" cacheId="0" applyNumberFormats="0" applyBorderFormats="0" applyFontFormats="0" applyPatternFormats="0" applyAlignmentFormats="0" applyWidthHeightFormats="1" dataCaption="Values" updatedVersion="5" minRefreshableVersion="3" useAutoFormatting="1" rowGrandTotals="0" itemPrintTitles="1" createdVersion="5" indent="0" outline="1" outlineData="1" multipleFieldFilters="0" chartFormat="5" rowHeaderCaption="Sales Rep">
  <location ref="M27:M28" firstHeaderRow="1" firstDataRow="1" firstDataCol="0"/>
  <pivotFields count="10">
    <pivotField numFmtId="164" showAll="0">
      <items count="15">
        <item x="0"/>
        <item x="1"/>
        <item x="2"/>
        <item x="3"/>
        <item x="4"/>
        <item x="5"/>
        <item x="6"/>
        <item x="7"/>
        <item x="8"/>
        <item x="9"/>
        <item x="10"/>
        <item x="11"/>
        <item x="12"/>
        <item x="13"/>
        <item t="default"/>
      </items>
    </pivotField>
    <pivotField showAll="0">
      <items count="5">
        <item x="3"/>
        <item x="2"/>
        <item x="1"/>
        <item x="0"/>
        <item t="default"/>
      </items>
    </pivotField>
    <pivotField showAll="0">
      <items count="8">
        <item x="1"/>
        <item x="2"/>
        <item x="3"/>
        <item x="4"/>
        <item x="5"/>
        <item x="6"/>
        <item x="0"/>
        <item t="default"/>
      </items>
    </pivotField>
    <pivotField showAll="0">
      <items count="8">
        <item x="1"/>
        <item x="2"/>
        <item x="3"/>
        <item x="4"/>
        <item x="0"/>
        <item m="1" x="6"/>
        <item x="5"/>
        <item t="default"/>
      </items>
    </pivotField>
    <pivotField dataField="1" showAll="0"/>
    <pivotField numFmtId="165" showAll="0"/>
    <pivotField numFmtId="165" showAll="0"/>
    <pivotField showAll="0"/>
    <pivotField showAll="0"/>
    <pivotField showAll="0" defaultSubtotal="0">
      <items count="6">
        <item x="0"/>
        <item x="1"/>
        <item x="2"/>
        <item x="3"/>
        <item x="4"/>
        <item x="5"/>
      </items>
    </pivotField>
  </pivotFields>
  <rowItems count="1">
    <i/>
  </rowItems>
  <colItems count="1">
    <i/>
  </colItems>
  <dataFields count="1">
    <dataField name="Sum of Units Sold" fld="4"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2.xml><?xml version="1.0" encoding="utf-8"?>
<pivotTableDefinition xmlns="http://schemas.openxmlformats.org/spreadsheetml/2006/main" name="PivotTable21" cacheId="0" applyNumberFormats="0" applyBorderFormats="0" applyFontFormats="0" applyPatternFormats="0" applyAlignmentFormats="0" applyWidthHeightFormats="1" dataCaption="Values" updatedVersion="5" minRefreshableVersion="3" useAutoFormatting="1" rowGrandTotals="0" itemPrintTitles="1" createdVersion="5" indent="0" outline="1" outlineData="1" multipleFieldFilters="0" chartFormat="5" rowHeaderCaption="Sales Rep">
  <location ref="M20:M21" firstHeaderRow="1" firstDataRow="1" firstDataCol="0"/>
  <pivotFields count="10">
    <pivotField numFmtId="164" showAll="0">
      <items count="15">
        <item x="0"/>
        <item x="1"/>
        <item x="2"/>
        <item x="3"/>
        <item x="4"/>
        <item x="5"/>
        <item x="6"/>
        <item x="7"/>
        <item x="8"/>
        <item x="9"/>
        <item x="10"/>
        <item x="11"/>
        <item x="12"/>
        <item x="13"/>
        <item t="default"/>
      </items>
    </pivotField>
    <pivotField showAll="0">
      <items count="5">
        <item x="3"/>
        <item x="2"/>
        <item x="1"/>
        <item x="0"/>
        <item t="default"/>
      </items>
    </pivotField>
    <pivotField showAll="0">
      <items count="8">
        <item x="1"/>
        <item x="2"/>
        <item x="3"/>
        <item x="4"/>
        <item x="5"/>
        <item x="6"/>
        <item x="0"/>
        <item t="default"/>
      </items>
    </pivotField>
    <pivotField showAll="0">
      <items count="8">
        <item x="1"/>
        <item x="2"/>
        <item x="3"/>
        <item x="4"/>
        <item x="0"/>
        <item m="1" x="6"/>
        <item x="5"/>
        <item t="default"/>
      </items>
    </pivotField>
    <pivotField showAll="0"/>
    <pivotField dataField="1" numFmtId="165" showAll="0"/>
    <pivotField numFmtId="165" showAll="0"/>
    <pivotField showAll="0" sortType="descending">
      <autoSortScope>
        <pivotArea dataOnly="0" outline="0" fieldPosition="0">
          <references count="1">
            <reference field="4294967294" count="1" selected="0">
              <x v="0"/>
            </reference>
          </references>
        </pivotArea>
      </autoSortScope>
    </pivotField>
    <pivotField showAll="0"/>
    <pivotField showAll="0" defaultSubtotal="0">
      <items count="6">
        <item x="0"/>
        <item x="1"/>
        <item x="2"/>
        <item x="3"/>
        <item x="4"/>
        <item x="5"/>
      </items>
    </pivotField>
  </pivotFields>
  <rowItems count="1">
    <i/>
  </rowItems>
  <colItems count="1">
    <i/>
  </colItems>
  <dataFields count="1">
    <dataField name="Average of Unit Price" fld="5" subtotal="average" baseField="0" baseItem="1896865840" numFmtId="166"/>
  </dataFields>
  <chartFormats count="2">
    <chartFormat chart="0" format="0" series="1">
      <pivotArea type="data" outline="0" fieldPosition="0">
        <references count="1">
          <reference field="4294967294" count="1" selected="0">
            <x v="0"/>
          </reference>
        </references>
      </pivotArea>
    </chartFormat>
    <chartFormat chart="2"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3.xml><?xml version="1.0" encoding="utf-8"?>
<pivotTableDefinition xmlns="http://schemas.openxmlformats.org/spreadsheetml/2006/main" name="PivotTable11" cacheId="0" applyNumberFormats="0" applyBorderFormats="0" applyFontFormats="0" applyPatternFormats="0" applyAlignmentFormats="0" applyWidthHeightFormats="1" dataCaption="Values" updatedVersion="5" minRefreshableVersion="3" useAutoFormatting="1" rowGrandTotals="0" itemPrintTitles="1" createdVersion="5" indent="0" outline="1" outlineData="1" multipleFieldFilters="0" rowHeaderCaption="Product">
  <location ref="G24:H31" firstHeaderRow="1" firstDataRow="1" firstDataCol="1"/>
  <pivotFields count="10">
    <pivotField numFmtId="164" showAll="0">
      <items count="15">
        <item x="0"/>
        <item x="1"/>
        <item x="2"/>
        <item x="3"/>
        <item x="4"/>
        <item x="5"/>
        <item x="6"/>
        <item x="7"/>
        <item x="8"/>
        <item x="9"/>
        <item x="10"/>
        <item x="11"/>
        <item x="12"/>
        <item x="13"/>
        <item t="default"/>
      </items>
    </pivotField>
    <pivotField showAll="0">
      <items count="5">
        <item x="3"/>
        <item x="2"/>
        <item x="1"/>
        <item x="0"/>
        <item t="default"/>
      </items>
    </pivotField>
    <pivotField axis="axisRow" showAll="0">
      <items count="8">
        <item x="1"/>
        <item x="2"/>
        <item x="3"/>
        <item x="4"/>
        <item x="5"/>
        <item x="6"/>
        <item x="0"/>
        <item t="default"/>
      </items>
    </pivotField>
    <pivotField showAll="0">
      <items count="8">
        <item x="1"/>
        <item x="2"/>
        <item x="3"/>
        <item x="4"/>
        <item x="0"/>
        <item m="1" x="6"/>
        <item x="5"/>
        <item t="default"/>
      </items>
    </pivotField>
    <pivotField dataField="1" showAll="0"/>
    <pivotField numFmtId="165" showAll="0"/>
    <pivotField numFmtId="165" showAll="0"/>
    <pivotField showAll="0"/>
    <pivotField showAll="0"/>
    <pivotField showAll="0" defaultSubtotal="0">
      <items count="6">
        <item x="0"/>
        <item x="1"/>
        <item x="2"/>
        <item x="3"/>
        <item x="4"/>
        <item x="5"/>
      </items>
    </pivotField>
  </pivotFields>
  <rowFields count="1">
    <field x="2"/>
  </rowFields>
  <rowItems count="7">
    <i>
      <x/>
    </i>
    <i>
      <x v="1"/>
    </i>
    <i>
      <x v="2"/>
    </i>
    <i>
      <x v="3"/>
    </i>
    <i>
      <x v="4"/>
    </i>
    <i>
      <x v="5"/>
    </i>
    <i>
      <x v="6"/>
    </i>
  </rowItems>
  <colItems count="1">
    <i/>
  </colItems>
  <dataFields count="1">
    <dataField name="Sum of Units Sold" fld="4"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4.xml><?xml version="1.0" encoding="utf-8"?>
<pivotTableDefinition xmlns="http://schemas.openxmlformats.org/spreadsheetml/2006/main" name="PivotTable5" cacheId="0" applyNumberFormats="0" applyBorderFormats="0" applyFontFormats="0" applyPatternFormats="0" applyAlignmentFormats="0" applyWidthHeightFormats="1" dataCaption="Values" updatedVersion="5" minRefreshableVersion="3" useAutoFormatting="1" rowGrandTotals="0" colGrandTotals="0" itemPrintTitles="1" createdVersion="5" indent="0" outline="1" outlineData="1" multipleFieldFilters="0" rowHeaderCaption="Region">
  <location ref="J12:Q17" firstHeaderRow="1" firstDataRow="2" firstDataCol="1"/>
  <pivotFields count="10">
    <pivotField numFmtId="164" showAll="0">
      <items count="15">
        <item x="0"/>
        <item x="1"/>
        <item x="2"/>
        <item x="3"/>
        <item x="4"/>
        <item x="5"/>
        <item x="6"/>
        <item x="7"/>
        <item x="8"/>
        <item x="9"/>
        <item x="10"/>
        <item x="11"/>
        <item x="12"/>
        <item x="13"/>
        <item t="default"/>
      </items>
    </pivotField>
    <pivotField axis="axisRow" showAll="0">
      <items count="5">
        <item x="3"/>
        <item x="2"/>
        <item x="1"/>
        <item x="0"/>
        <item t="default"/>
      </items>
    </pivotField>
    <pivotField axis="axisCol" showAll="0">
      <items count="8">
        <item x="1"/>
        <item x="2"/>
        <item x="3"/>
        <item x="4"/>
        <item x="5"/>
        <item x="6"/>
        <item x="0"/>
        <item t="default"/>
      </items>
    </pivotField>
    <pivotField showAll="0">
      <items count="8">
        <item x="1"/>
        <item x="2"/>
        <item x="3"/>
        <item x="4"/>
        <item x="0"/>
        <item m="1" x="6"/>
        <item x="5"/>
        <item t="default"/>
      </items>
    </pivotField>
    <pivotField showAll="0"/>
    <pivotField numFmtId="165" showAll="0"/>
    <pivotField dataField="1" numFmtId="165" showAll="0"/>
    <pivotField showAll="0"/>
    <pivotField showAll="0"/>
    <pivotField showAll="0" defaultSubtotal="0">
      <items count="6">
        <item x="0"/>
        <item x="1"/>
        <item x="2"/>
        <item x="3"/>
        <item x="4"/>
        <item x="5"/>
      </items>
    </pivotField>
  </pivotFields>
  <rowFields count="1">
    <field x="1"/>
  </rowFields>
  <rowItems count="4">
    <i>
      <x/>
    </i>
    <i>
      <x v="1"/>
    </i>
    <i>
      <x v="2"/>
    </i>
    <i>
      <x v="3"/>
    </i>
  </rowItems>
  <colFields count="1">
    <field x="2"/>
  </colFields>
  <colItems count="7">
    <i>
      <x/>
    </i>
    <i>
      <x v="1"/>
    </i>
    <i>
      <x v="2"/>
    </i>
    <i>
      <x v="3"/>
    </i>
    <i>
      <x v="4"/>
    </i>
    <i>
      <x v="5"/>
    </i>
    <i>
      <x v="6"/>
    </i>
  </colItems>
  <dataFields count="1">
    <dataField name="Sum of Total sales" fld="6" baseField="0" baseItem="0" numFmtId="165"/>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5.xml><?xml version="1.0" encoding="utf-8"?>
<pivotTableDefinition xmlns="http://schemas.openxmlformats.org/spreadsheetml/2006/main" name="PivotTable19" cacheId="0" applyNumberFormats="0" applyBorderFormats="0" applyFontFormats="0" applyPatternFormats="0" applyAlignmentFormats="0" applyWidthHeightFormats="1" dataCaption="Values" updatedVersion="5" minRefreshableVersion="3" useAutoFormatting="1" rowGrandTotals="0" itemPrintTitles="1" createdVersion="5" indent="0" outline="1" outlineData="1" multipleFieldFilters="0" chartFormat="5" rowHeaderCaption="Sales Rep">
  <location ref="Q20:S55" firstHeaderRow="0" firstDataRow="1" firstDataCol="1"/>
  <pivotFields count="10">
    <pivotField numFmtId="164" showAll="0">
      <items count="15">
        <item x="0"/>
        <item x="1"/>
        <item x="2"/>
        <item x="3"/>
        <item x="4"/>
        <item x="5"/>
        <item x="6"/>
        <item x="7"/>
        <item x="8"/>
        <item x="9"/>
        <item x="10"/>
        <item x="11"/>
        <item x="12"/>
        <item x="13"/>
        <item t="default"/>
      </items>
    </pivotField>
    <pivotField axis="axisRow" showAll="0">
      <items count="5">
        <item x="3"/>
        <item x="2"/>
        <item x="1"/>
        <item x="0"/>
        <item t="default"/>
      </items>
    </pivotField>
    <pivotField showAll="0">
      <items count="8">
        <item x="1"/>
        <item x="2"/>
        <item x="3"/>
        <item x="4"/>
        <item x="5"/>
        <item x="6"/>
        <item x="0"/>
        <item t="default"/>
      </items>
    </pivotField>
    <pivotField showAll="0">
      <items count="8">
        <item x="1"/>
        <item x="2"/>
        <item x="3"/>
        <item x="4"/>
        <item x="0"/>
        <item m="1" x="6"/>
        <item x="5"/>
        <item t="default"/>
      </items>
    </pivotField>
    <pivotField dataField="1" showAll="0"/>
    <pivotField dataField="1" numFmtId="165" showAll="0"/>
    <pivotField numFmtId="165" showAll="0"/>
    <pivotField axis="axisRow" showAll="0" sortType="descending">
      <items count="11">
        <item x="0"/>
        <item x="1"/>
        <item x="2"/>
        <item x="3"/>
        <item x="4"/>
        <item x="5"/>
        <item x="6"/>
        <item x="7"/>
        <item x="8"/>
        <item x="9"/>
        <item t="default"/>
      </items>
      <autoSortScope>
        <pivotArea dataOnly="0" outline="0" fieldPosition="0">
          <references count="1">
            <reference field="4294967294" count="1" selected="0">
              <x v="0"/>
            </reference>
          </references>
        </pivotArea>
      </autoSortScope>
    </pivotField>
    <pivotField showAll="0"/>
    <pivotField showAll="0" defaultSubtotal="0">
      <items count="6">
        <item x="0"/>
        <item x="1"/>
        <item x="2"/>
        <item x="3"/>
        <item x="4"/>
        <item x="5"/>
      </items>
    </pivotField>
  </pivotFields>
  <rowFields count="2">
    <field x="1"/>
    <field x="7"/>
  </rowFields>
  <rowItems count="35">
    <i>
      <x/>
    </i>
    <i r="1">
      <x v="8"/>
    </i>
    <i r="1">
      <x v="4"/>
    </i>
    <i r="1">
      <x v="7"/>
    </i>
    <i r="1">
      <x v="2"/>
    </i>
    <i r="1">
      <x v="5"/>
    </i>
    <i r="1">
      <x v="3"/>
    </i>
    <i r="1">
      <x v="6"/>
    </i>
    <i r="1">
      <x v="1"/>
    </i>
    <i>
      <x v="1"/>
    </i>
    <i r="1">
      <x v="4"/>
    </i>
    <i r="1">
      <x v="1"/>
    </i>
    <i r="1">
      <x v="2"/>
    </i>
    <i r="1">
      <x v="7"/>
    </i>
    <i r="1">
      <x v="3"/>
    </i>
    <i r="1">
      <x v="5"/>
    </i>
    <i r="1">
      <x v="9"/>
    </i>
    <i r="1">
      <x v="8"/>
    </i>
    <i>
      <x v="2"/>
    </i>
    <i r="1">
      <x v="3"/>
    </i>
    <i r="1">
      <x v="5"/>
    </i>
    <i r="1">
      <x v="1"/>
    </i>
    <i r="1">
      <x v="4"/>
    </i>
    <i r="1">
      <x v="2"/>
    </i>
    <i r="1">
      <x v="8"/>
    </i>
    <i r="1">
      <x v="7"/>
    </i>
    <i>
      <x v="3"/>
    </i>
    <i r="1">
      <x v="2"/>
    </i>
    <i r="1">
      <x v="1"/>
    </i>
    <i r="1">
      <x v="8"/>
    </i>
    <i r="1">
      <x v="4"/>
    </i>
    <i r="1">
      <x v="3"/>
    </i>
    <i r="1">
      <x v="7"/>
    </i>
    <i r="1">
      <x v="5"/>
    </i>
    <i r="1">
      <x/>
    </i>
  </rowItems>
  <colFields count="1">
    <field x="-2"/>
  </colFields>
  <colItems count="2">
    <i>
      <x/>
    </i>
    <i i="1">
      <x v="1"/>
    </i>
  </colItems>
  <dataFields count="2">
    <dataField name="Sum of Unit Price" fld="5" baseField="0" baseItem="0" numFmtId="166"/>
    <dataField name="Sum of Units Sold" fld="4" baseField="0" baseItem="0"/>
  </dataFields>
  <chartFormats count="4">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2" format="4" series="1">
      <pivotArea type="data" outline="0" fieldPosition="0">
        <references count="1">
          <reference field="4294967294" count="1" selected="0">
            <x v="0"/>
          </reference>
        </references>
      </pivotArea>
    </chartFormat>
    <chartFormat chart="2"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6.xml><?xml version="1.0" encoding="utf-8"?>
<pivotTableDefinition xmlns="http://schemas.openxmlformats.org/spreadsheetml/2006/main" name="PivotTable12" cacheId="0" applyNumberFormats="0" applyBorderFormats="0" applyFontFormats="0" applyPatternFormats="0" applyAlignmentFormats="0" applyWidthHeightFormats="1" dataCaption="Values" updatedVersion="5" minRefreshableVersion="3" useAutoFormatting="1" rowGrandTotals="0" itemPrintTitles="1" createdVersion="5" indent="0" outline="1" outlineData="1" multipleFieldFilters="0" rowHeaderCaption="Category">
  <location ref="J24:K30" firstHeaderRow="1" firstDataRow="1" firstDataCol="1"/>
  <pivotFields count="10">
    <pivotField numFmtId="164" showAll="0">
      <items count="15">
        <item x="0"/>
        <item x="1"/>
        <item x="2"/>
        <item x="3"/>
        <item x="4"/>
        <item x="5"/>
        <item x="6"/>
        <item x="7"/>
        <item x="8"/>
        <item x="9"/>
        <item x="10"/>
        <item x="11"/>
        <item x="12"/>
        <item x="13"/>
        <item t="default"/>
      </items>
    </pivotField>
    <pivotField showAll="0">
      <items count="5">
        <item x="3"/>
        <item x="2"/>
        <item x="1"/>
        <item x="0"/>
        <item t="default"/>
      </items>
    </pivotField>
    <pivotField showAll="0">
      <items count="8">
        <item x="1"/>
        <item x="2"/>
        <item x="3"/>
        <item x="4"/>
        <item x="5"/>
        <item x="6"/>
        <item x="0"/>
        <item t="default"/>
      </items>
    </pivotField>
    <pivotField axis="axisRow" showAll="0">
      <items count="8">
        <item x="1"/>
        <item x="2"/>
        <item x="3"/>
        <item x="4"/>
        <item x="0"/>
        <item m="1" x="6"/>
        <item x="5"/>
        <item t="default"/>
      </items>
    </pivotField>
    <pivotField dataField="1" showAll="0"/>
    <pivotField numFmtId="165" showAll="0"/>
    <pivotField numFmtId="165" showAll="0"/>
    <pivotField showAll="0"/>
    <pivotField showAll="0"/>
    <pivotField showAll="0" defaultSubtotal="0">
      <items count="6">
        <item x="0"/>
        <item x="1"/>
        <item x="2"/>
        <item x="3"/>
        <item x="4"/>
        <item x="5"/>
      </items>
    </pivotField>
  </pivotFields>
  <rowFields count="1">
    <field x="3"/>
  </rowFields>
  <rowItems count="6">
    <i>
      <x/>
    </i>
    <i>
      <x v="1"/>
    </i>
    <i>
      <x v="2"/>
    </i>
    <i>
      <x v="3"/>
    </i>
    <i>
      <x v="4"/>
    </i>
    <i>
      <x v="6"/>
    </i>
  </rowItems>
  <colItems count="1">
    <i/>
  </colItems>
  <dataFields count="1">
    <dataField name="Sum of Units Sold" fld="4"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7.xml><?xml version="1.0" encoding="utf-8"?>
<pivotTableDefinition xmlns="http://schemas.openxmlformats.org/spreadsheetml/2006/main" name="PivotTable7" cacheId="0" applyNumberFormats="0" applyBorderFormats="0" applyFontFormats="0" applyPatternFormats="0" applyAlignmentFormats="0" applyWidthHeightFormats="1" dataCaption="Values" updatedVersion="5" minRefreshableVersion="3" useAutoFormatting="1" rowGrandTotals="0" itemPrintTitles="1" createdVersion="5" indent="0" outline="1" outlineData="1" multipleFieldFilters="0" rowHeaderCaption="Date">
  <location ref="G12:H20" firstHeaderRow="1" firstDataRow="1" firstDataCol="1"/>
  <pivotFields count="10">
    <pivotField axis="axisRow" numFmtId="164" showAll="0" measureFilter="1" sortType="descending">
      <items count="15">
        <item x="0"/>
        <item x="1"/>
        <item x="2"/>
        <item x="3"/>
        <item x="4"/>
        <item x="5"/>
        <item x="6"/>
        <item x="7"/>
        <item x="8"/>
        <item x="9"/>
        <item x="10"/>
        <item x="11"/>
        <item x="12"/>
        <item x="13"/>
        <item t="default"/>
      </items>
      <autoSortScope>
        <pivotArea dataOnly="0" outline="0" fieldPosition="0">
          <references count="1">
            <reference field="4294967294" count="1" selected="0">
              <x v="0"/>
            </reference>
          </references>
        </pivotArea>
      </autoSortScope>
    </pivotField>
    <pivotField showAll="0">
      <items count="5">
        <item x="3"/>
        <item x="2"/>
        <item x="1"/>
        <item x="0"/>
        <item t="default"/>
      </items>
    </pivotField>
    <pivotField showAll="0">
      <items count="8">
        <item x="1"/>
        <item x="2"/>
        <item x="3"/>
        <item x="4"/>
        <item x="5"/>
        <item x="6"/>
        <item x="0"/>
        <item t="default"/>
      </items>
    </pivotField>
    <pivotField showAll="0">
      <items count="8">
        <item x="1"/>
        <item x="2"/>
        <item x="3"/>
        <item x="4"/>
        <item x="0"/>
        <item m="1" x="6"/>
        <item x="5"/>
        <item t="default"/>
      </items>
    </pivotField>
    <pivotField showAll="0"/>
    <pivotField numFmtId="165" showAll="0"/>
    <pivotField dataField="1" numFmtId="165" showAll="0"/>
    <pivotField showAll="0"/>
    <pivotField showAll="0"/>
    <pivotField axis="axisRow" showAll="0" defaultSubtotal="0">
      <items count="6">
        <item x="0"/>
        <item x="1"/>
        <item x="2"/>
        <item x="3"/>
        <item x="4"/>
        <item x="5"/>
      </items>
    </pivotField>
  </pivotFields>
  <rowFields count="2">
    <field x="9"/>
    <field x="0"/>
  </rowFields>
  <rowItems count="8">
    <i>
      <x v="1"/>
    </i>
    <i r="1">
      <x v="2"/>
    </i>
    <i r="1">
      <x v="3"/>
    </i>
    <i r="1">
      <x v="1"/>
    </i>
    <i>
      <x v="2"/>
    </i>
    <i r="1">
      <x v="5"/>
    </i>
    <i r="1">
      <x v="6"/>
    </i>
    <i r="1">
      <x v="4"/>
    </i>
  </rowItems>
  <colItems count="1">
    <i/>
  </colItems>
  <dataFields count="1">
    <dataField name="Sum of Total sales" fld="6" baseField="0" baseItem="0" numFmtId="165"/>
  </dataFields>
  <pivotTableStyleInfo name="PivotStyleLight16" showRowHeaders="1" showColHeaders="1" showRowStripes="0" showColStripes="0" showLastColumn="1"/>
  <filters count="1">
    <filter fld="0"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Lst>
</pivotTableDefinition>
</file>

<file path=xl/pivotTables/pivotTable8.xml><?xml version="1.0" encoding="utf-8"?>
<pivotTableDefinition xmlns="http://schemas.openxmlformats.org/spreadsheetml/2006/main" name="PivotTable3" cacheId="0" applyNumberFormats="0" applyBorderFormats="0" applyFontFormats="0" applyPatternFormats="0" applyAlignmentFormats="0" applyWidthHeightFormats="1" dataCaption="Values" updatedVersion="5" minRefreshableVersion="3" useAutoFormatting="1" rowGrandTotals="0" itemPrintTitles="1" createdVersion="5" indent="0" outline="1" outlineData="1" multipleFieldFilters="0" chartFormat="12" rowHeaderCaption="Categories">
  <location ref="G3:H9" firstHeaderRow="1" firstDataRow="1" firstDataCol="1"/>
  <pivotFields count="10">
    <pivotField numFmtId="164" showAll="0">
      <items count="15">
        <item x="0"/>
        <item x="1"/>
        <item x="2"/>
        <item x="3"/>
        <item x="4"/>
        <item x="5"/>
        <item x="6"/>
        <item x="7"/>
        <item x="8"/>
        <item x="9"/>
        <item x="10"/>
        <item x="11"/>
        <item x="12"/>
        <item x="13"/>
        <item t="default"/>
      </items>
    </pivotField>
    <pivotField showAll="0">
      <items count="5">
        <item x="3"/>
        <item x="2"/>
        <item x="1"/>
        <item x="0"/>
        <item t="default"/>
      </items>
    </pivotField>
    <pivotField showAll="0">
      <items count="8">
        <item x="1"/>
        <item x="2"/>
        <item x="3"/>
        <item x="4"/>
        <item x="5"/>
        <item x="6"/>
        <item x="0"/>
        <item t="default"/>
      </items>
    </pivotField>
    <pivotField axis="axisRow" showAll="0">
      <items count="8">
        <item x="1"/>
        <item x="2"/>
        <item x="3"/>
        <item x="4"/>
        <item x="0"/>
        <item m="1" x="6"/>
        <item x="5"/>
        <item t="default"/>
      </items>
    </pivotField>
    <pivotField showAll="0"/>
    <pivotField numFmtId="165" showAll="0"/>
    <pivotField dataField="1" numFmtId="165" showAll="0"/>
    <pivotField showAll="0"/>
    <pivotField showAll="0"/>
    <pivotField showAll="0" defaultSubtotal="0">
      <items count="6">
        <item x="0"/>
        <item x="1"/>
        <item x="2"/>
        <item x="3"/>
        <item x="4"/>
        <item x="5"/>
      </items>
    </pivotField>
  </pivotFields>
  <rowFields count="1">
    <field x="3"/>
  </rowFields>
  <rowItems count="6">
    <i>
      <x/>
    </i>
    <i>
      <x v="1"/>
    </i>
    <i>
      <x v="2"/>
    </i>
    <i>
      <x v="3"/>
    </i>
    <i>
      <x v="4"/>
    </i>
    <i>
      <x v="6"/>
    </i>
  </rowItems>
  <colItems count="1">
    <i/>
  </colItems>
  <dataFields count="1">
    <dataField name="Sum of Total sales" fld="6" baseField="0" baseItem="0" numFmtId="165"/>
  </dataFields>
  <chartFormats count="2">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9.xml><?xml version="1.0" encoding="utf-8"?>
<pivotTableDefinition xmlns="http://schemas.openxmlformats.org/spreadsheetml/2006/main" name="PivotTable1" cacheId="0" applyNumberFormats="0" applyBorderFormats="0" applyFontFormats="0" applyPatternFormats="0" applyAlignmentFormats="0" applyWidthHeightFormats="1" dataCaption="Values" updatedVersion="5" minRefreshableVersion="3" useAutoFormatting="1" itemPrintTitles="1" createdVersion="5" indent="0" outline="1" outlineData="1" multipleFieldFilters="0" chartFormat="7">
  <location ref="A3:B18" firstHeaderRow="1" firstDataRow="1" firstDataCol="1"/>
  <pivotFields count="10">
    <pivotField numFmtId="164" showAll="0">
      <items count="15">
        <item x="0"/>
        <item x="1"/>
        <item x="2"/>
        <item x="3"/>
        <item x="4"/>
        <item x="5"/>
        <item x="6"/>
        <item x="7"/>
        <item x="8"/>
        <item x="9"/>
        <item x="10"/>
        <item x="11"/>
        <item x="12"/>
        <item x="13"/>
        <item t="default"/>
      </items>
    </pivotField>
    <pivotField showAll="0">
      <items count="5">
        <item x="3"/>
        <item x="2"/>
        <item x="1"/>
        <item x="0"/>
        <item t="default"/>
      </items>
    </pivotField>
    <pivotField showAll="0">
      <items count="8">
        <item x="1"/>
        <item x="2"/>
        <item x="3"/>
        <item x="4"/>
        <item x="5"/>
        <item x="6"/>
        <item x="0"/>
        <item t="default"/>
      </items>
    </pivotField>
    <pivotField showAll="0">
      <items count="8">
        <item x="1"/>
        <item x="2"/>
        <item x="3"/>
        <item x="4"/>
        <item x="0"/>
        <item m="1" x="6"/>
        <item x="5"/>
        <item t="default"/>
      </items>
    </pivotField>
    <pivotField showAll="0"/>
    <pivotField dataField="1" numFmtId="165" showAll="0"/>
    <pivotField numFmtId="165" showAll="0"/>
    <pivotField showAll="0"/>
    <pivotField axis="axisRow" showAll="0" sortType="descending">
      <items count="15">
        <item x="0"/>
        <item x="1"/>
        <item x="2"/>
        <item x="3"/>
        <item x="4"/>
        <item x="5"/>
        <item x="6"/>
        <item x="7"/>
        <item x="8"/>
        <item x="9"/>
        <item x="10"/>
        <item x="12"/>
        <item x="11"/>
        <item x="13"/>
        <item t="default"/>
      </items>
      <autoSortScope>
        <pivotArea dataOnly="0" outline="0" fieldPosition="0">
          <references count="1">
            <reference field="4294967294" count="1" selected="0">
              <x v="0"/>
            </reference>
          </references>
        </pivotArea>
      </autoSortScope>
    </pivotField>
    <pivotField showAll="0" defaultSubtotal="0">
      <items count="6">
        <item x="0"/>
        <item x="1"/>
        <item x="2"/>
        <item x="3"/>
        <item x="4"/>
        <item x="5"/>
      </items>
    </pivotField>
  </pivotFields>
  <rowFields count="1">
    <field x="8"/>
  </rowFields>
  <rowItems count="15">
    <i>
      <x v="7"/>
    </i>
    <i>
      <x v="11"/>
    </i>
    <i>
      <x v="13"/>
    </i>
    <i>
      <x v="9"/>
    </i>
    <i>
      <x v="5"/>
    </i>
    <i>
      <x v="3"/>
    </i>
    <i>
      <x v="10"/>
    </i>
    <i>
      <x v="2"/>
    </i>
    <i>
      <x v="1"/>
    </i>
    <i>
      <x v="8"/>
    </i>
    <i>
      <x v="12"/>
    </i>
    <i>
      <x v="4"/>
    </i>
    <i>
      <x v="6"/>
    </i>
    <i>
      <x/>
    </i>
    <i t="grand">
      <x/>
    </i>
  </rowItems>
  <colItems count="1">
    <i/>
  </colItems>
  <dataFields count="1">
    <dataField name="Sum of Unit Price" fld="5" baseField="0" baseItem="0"/>
  </dataFields>
  <chartFormats count="1">
    <chartFormat chart="5" format="5"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10.xml><?xml version="1.0" encoding="utf-8"?>
<pivotTableDefinition xmlns="http://schemas.openxmlformats.org/spreadsheetml/2006/main" name="PivotTable17" cacheId="0" applyNumberFormats="0" applyBorderFormats="0" applyFontFormats="0" applyPatternFormats="0" applyAlignmentFormats="0" applyWidthHeightFormats="1" dataCaption="Values" updatedVersion="5" minRefreshableVersion="3" useAutoFormatting="1" rowGrandTotals="0" itemPrintTitles="1" createdVersion="5" indent="0" outline="1" outlineData="1" multipleFieldFilters="0" rowHeaderCaption="Sales Rep">
  <location ref="K37:L47" firstHeaderRow="1" firstDataRow="1" firstDataCol="1"/>
  <pivotFields count="10">
    <pivotField numFmtId="164" showAll="0">
      <items count="15">
        <item x="0"/>
        <item x="1"/>
        <item x="2"/>
        <item x="3"/>
        <item x="4"/>
        <item x="5"/>
        <item x="6"/>
        <item x="7"/>
        <item x="8"/>
        <item x="9"/>
        <item x="10"/>
        <item x="11"/>
        <item x="12"/>
        <item x="13"/>
        <item t="default"/>
      </items>
    </pivotField>
    <pivotField showAll="0">
      <items count="5">
        <item x="3"/>
        <item x="2"/>
        <item x="1"/>
        <item x="0"/>
        <item t="default"/>
      </items>
    </pivotField>
    <pivotField showAll="0">
      <items count="8">
        <item x="1"/>
        <item x="2"/>
        <item x="3"/>
        <item x="4"/>
        <item x="5"/>
        <item x="6"/>
        <item x="0"/>
        <item t="default"/>
      </items>
    </pivotField>
    <pivotField showAll="0">
      <items count="8">
        <item x="1"/>
        <item x="2"/>
        <item x="3"/>
        <item x="4"/>
        <item x="0"/>
        <item m="1" x="6"/>
        <item x="5"/>
        <item t="default"/>
      </items>
    </pivotField>
    <pivotField showAll="0"/>
    <pivotField numFmtId="165" showAll="0"/>
    <pivotField dataField="1" numFmtId="165" showAll="0"/>
    <pivotField axis="axisRow" showAll="0" sortType="descending">
      <items count="11">
        <item x="0"/>
        <item x="1"/>
        <item x="2"/>
        <item x="3"/>
        <item x="4"/>
        <item x="5"/>
        <item x="6"/>
        <item x="7"/>
        <item x="8"/>
        <item x="9"/>
        <item t="default"/>
      </items>
      <autoSortScope>
        <pivotArea dataOnly="0" outline="0" fieldPosition="0">
          <references count="1">
            <reference field="4294967294" count="1" selected="0">
              <x v="0"/>
            </reference>
          </references>
        </pivotArea>
      </autoSortScope>
    </pivotField>
    <pivotField showAll="0"/>
    <pivotField showAll="0" defaultSubtotal="0">
      <items count="6">
        <item x="0"/>
        <item x="1"/>
        <item x="2"/>
        <item x="3"/>
        <item x="4"/>
        <item x="5"/>
      </items>
    </pivotField>
  </pivotFields>
  <rowFields count="1">
    <field x="7"/>
  </rowFields>
  <rowItems count="10">
    <i>
      <x v="8"/>
    </i>
    <i>
      <x v="4"/>
    </i>
    <i>
      <x v="2"/>
    </i>
    <i>
      <x v="3"/>
    </i>
    <i>
      <x v="5"/>
    </i>
    <i>
      <x v="7"/>
    </i>
    <i>
      <x v="1"/>
    </i>
    <i>
      <x v="6"/>
    </i>
    <i>
      <x v="9"/>
    </i>
    <i>
      <x/>
    </i>
  </rowItems>
  <colItems count="1">
    <i/>
  </colItems>
  <dataFields count="1">
    <dataField name="Sum of Total sales" fld="6" baseField="0" baseItem="0" numFmtId="165"/>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11.xml><?xml version="1.0" encoding="utf-8"?>
<pivotTableDefinition xmlns="http://schemas.openxmlformats.org/spreadsheetml/2006/main" name="PivotTable6" cacheId="0" applyNumberFormats="0" applyBorderFormats="0" applyFontFormats="0" applyPatternFormats="0" applyAlignmentFormats="0" applyWidthHeightFormats="1" dataCaption="Values" updatedVersion="5" minRefreshableVersion="3" useAutoFormatting="1" rowGrandTotals="0" itemPrintTitles="1" createdVersion="5" indent="0" outline="1" outlineData="1" multipleFieldFilters="0" rowHeaderCaption="Product">
  <location ref="D12:E19" firstHeaderRow="1" firstDataRow="1" firstDataCol="1"/>
  <pivotFields count="10">
    <pivotField numFmtId="164" showAll="0">
      <items count="15">
        <item x="0"/>
        <item x="1"/>
        <item x="2"/>
        <item x="3"/>
        <item x="4"/>
        <item x="5"/>
        <item x="6"/>
        <item x="7"/>
        <item x="8"/>
        <item x="9"/>
        <item x="10"/>
        <item x="11"/>
        <item x="12"/>
        <item x="13"/>
        <item t="default"/>
      </items>
    </pivotField>
    <pivotField showAll="0">
      <items count="5">
        <item x="3"/>
        <item x="2"/>
        <item x="1"/>
        <item x="0"/>
        <item t="default"/>
      </items>
    </pivotField>
    <pivotField axis="axisRow" showAll="0" sortType="descending">
      <items count="8">
        <item x="1"/>
        <item x="2"/>
        <item x="3"/>
        <item x="4"/>
        <item x="5"/>
        <item x="6"/>
        <item x="0"/>
        <item t="default"/>
      </items>
      <autoSortScope>
        <pivotArea dataOnly="0" outline="0" fieldPosition="0">
          <references count="1">
            <reference field="4294967294" count="1" selected="0">
              <x v="0"/>
            </reference>
          </references>
        </pivotArea>
      </autoSortScope>
    </pivotField>
    <pivotField showAll="0">
      <items count="8">
        <item x="1"/>
        <item x="2"/>
        <item x="3"/>
        <item x="4"/>
        <item x="0"/>
        <item m="1" x="6"/>
        <item x="5"/>
        <item t="default"/>
      </items>
    </pivotField>
    <pivotField showAll="0"/>
    <pivotField numFmtId="165" showAll="0"/>
    <pivotField dataField="1" numFmtId="165" showAll="0"/>
    <pivotField showAll="0"/>
    <pivotField showAll="0"/>
    <pivotField showAll="0" defaultSubtotal="0">
      <items count="6">
        <item x="0"/>
        <item x="1"/>
        <item x="2"/>
        <item x="3"/>
        <item x="4"/>
        <item x="5"/>
      </items>
    </pivotField>
  </pivotFields>
  <rowFields count="1">
    <field x="2"/>
  </rowFields>
  <rowItems count="7">
    <i>
      <x v="3"/>
    </i>
    <i>
      <x v="4"/>
    </i>
    <i>
      <x v="1"/>
    </i>
    <i>
      <x v="5"/>
    </i>
    <i>
      <x/>
    </i>
    <i>
      <x v="6"/>
    </i>
    <i>
      <x v="2"/>
    </i>
  </rowItems>
  <colItems count="1">
    <i/>
  </colItems>
  <dataFields count="1">
    <dataField name="Sum of Total sales" fld="6" baseField="0" baseItem="0" numFmtId="165"/>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12.xml><?xml version="1.0" encoding="utf-8"?>
<pivotTableDefinition xmlns="http://schemas.openxmlformats.org/spreadsheetml/2006/main" name="PivotTable4" cacheId="0" applyNumberFormats="0" applyBorderFormats="0" applyFontFormats="0" applyPatternFormats="0" applyAlignmentFormats="0" applyWidthHeightFormats="1" dataCaption="Values" updatedVersion="5" minRefreshableVersion="3" useAutoFormatting="1" rowGrandTotals="0" itemPrintTitles="1" createdVersion="5" indent="0" outline="1" outlineData="1" multipleFieldFilters="0" chartFormat="7" rowHeaderCaption="Product">
  <location ref="J3:K10" firstHeaderRow="1" firstDataRow="1" firstDataCol="1"/>
  <pivotFields count="10">
    <pivotField numFmtId="164" showAll="0">
      <items count="15">
        <item x="0"/>
        <item x="1"/>
        <item x="2"/>
        <item x="3"/>
        <item x="4"/>
        <item x="5"/>
        <item x="6"/>
        <item x="7"/>
        <item x="8"/>
        <item x="9"/>
        <item x="10"/>
        <item x="11"/>
        <item x="12"/>
        <item x="13"/>
        <item t="default"/>
      </items>
    </pivotField>
    <pivotField showAll="0">
      <items count="5">
        <item x="3"/>
        <item x="2"/>
        <item x="1"/>
        <item x="0"/>
        <item t="default"/>
      </items>
    </pivotField>
    <pivotField axis="axisRow" showAll="0" sortType="descending">
      <items count="8">
        <item x="1"/>
        <item x="2"/>
        <item x="3"/>
        <item x="4"/>
        <item x="5"/>
        <item x="6"/>
        <item x="0"/>
        <item t="default"/>
      </items>
      <autoSortScope>
        <pivotArea dataOnly="0" outline="0" fieldPosition="0">
          <references count="1">
            <reference field="4294967294" count="1" selected="0">
              <x v="0"/>
            </reference>
          </references>
        </pivotArea>
      </autoSortScope>
    </pivotField>
    <pivotField showAll="0">
      <items count="8">
        <item x="1"/>
        <item x="2"/>
        <item x="3"/>
        <item x="4"/>
        <item x="0"/>
        <item m="1" x="6"/>
        <item x="5"/>
        <item t="default"/>
      </items>
    </pivotField>
    <pivotField showAll="0"/>
    <pivotField numFmtId="165" showAll="0"/>
    <pivotField dataField="1" numFmtId="165" showAll="0"/>
    <pivotField showAll="0"/>
    <pivotField showAll="0"/>
    <pivotField showAll="0" defaultSubtotal="0">
      <items count="6">
        <item x="0"/>
        <item x="1"/>
        <item x="2"/>
        <item x="3"/>
        <item x="4"/>
        <item x="5"/>
      </items>
    </pivotField>
  </pivotFields>
  <rowFields count="1">
    <field x="2"/>
  </rowFields>
  <rowItems count="7">
    <i>
      <x v="3"/>
    </i>
    <i>
      <x v="4"/>
    </i>
    <i>
      <x v="1"/>
    </i>
    <i>
      <x v="5"/>
    </i>
    <i>
      <x/>
    </i>
    <i>
      <x v="6"/>
    </i>
    <i>
      <x v="2"/>
    </i>
  </rowItems>
  <colItems count="1">
    <i/>
  </colItems>
  <dataFields count="1">
    <dataField name="Sum of Total sales" fld="6" baseField="0" baseItem="0" numFmtId="165"/>
  </dataFields>
  <chartFormats count="2">
    <chartFormat chart="0" format="0" series="1">
      <pivotArea type="data" outline="0" fieldPosition="0">
        <references count="1">
          <reference field="4294967294" count="1" selected="0">
            <x v="0"/>
          </reference>
        </references>
      </pivotArea>
    </chartFormat>
    <chartFormat chart="2" format="5"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13.xml><?xml version="1.0" encoding="utf-8"?>
<pivotTableDefinition xmlns="http://schemas.openxmlformats.org/spreadsheetml/2006/main" name="PivotTable15" cacheId="0" applyNumberFormats="0" applyBorderFormats="0" applyFontFormats="0" applyPatternFormats="0" applyAlignmentFormats="0" applyWidthHeightFormats="1" dataCaption="Values" updatedVersion="5" minRefreshableVersion="3" useAutoFormatting="1" rowGrandTotals="0" itemPrintTitles="1" createdVersion="5" indent="0" outline="1" outlineData="1" multipleFieldFilters="0" chartFormat="6" rowHeaderCaption="Customer">
  <location ref="H33:I38" firstHeaderRow="1" firstDataRow="1" firstDataCol="1"/>
  <pivotFields count="10">
    <pivotField numFmtId="164" showAll="0">
      <items count="15">
        <item x="0"/>
        <item x="1"/>
        <item x="2"/>
        <item x="3"/>
        <item x="4"/>
        <item x="5"/>
        <item x="6"/>
        <item x="7"/>
        <item x="8"/>
        <item x="9"/>
        <item x="10"/>
        <item x="11"/>
        <item x="12"/>
        <item x="13"/>
        <item t="default"/>
      </items>
    </pivotField>
    <pivotField showAll="0">
      <items count="5">
        <item x="3"/>
        <item x="2"/>
        <item x="1"/>
        <item x="0"/>
        <item t="default"/>
      </items>
    </pivotField>
    <pivotField showAll="0">
      <items count="8">
        <item x="1"/>
        <item x="2"/>
        <item x="3"/>
        <item x="4"/>
        <item x="5"/>
        <item x="6"/>
        <item x="0"/>
        <item t="default"/>
      </items>
    </pivotField>
    <pivotField showAll="0">
      <items count="8">
        <item x="1"/>
        <item x="2"/>
        <item x="3"/>
        <item x="4"/>
        <item x="0"/>
        <item m="1" x="6"/>
        <item x="5"/>
        <item t="default"/>
      </items>
    </pivotField>
    <pivotField showAll="0"/>
    <pivotField dataField="1" numFmtId="165" showAll="0"/>
    <pivotField numFmtId="165" showAll="0"/>
    <pivotField showAll="0"/>
    <pivotField axis="axisRow" showAll="0" measureFilter="1" sortType="descending">
      <items count="15">
        <item x="0"/>
        <item x="1"/>
        <item x="2"/>
        <item x="3"/>
        <item x="4"/>
        <item x="5"/>
        <item x="6"/>
        <item x="7"/>
        <item x="8"/>
        <item x="9"/>
        <item x="10"/>
        <item x="12"/>
        <item x="11"/>
        <item x="13"/>
        <item t="default"/>
      </items>
      <autoSortScope>
        <pivotArea dataOnly="0" outline="0" fieldPosition="0">
          <references count="1">
            <reference field="4294967294" count="1" selected="0">
              <x v="0"/>
            </reference>
          </references>
        </pivotArea>
      </autoSortScope>
    </pivotField>
    <pivotField showAll="0" defaultSubtotal="0">
      <items count="6">
        <item x="0"/>
        <item x="1"/>
        <item x="2"/>
        <item x="3"/>
        <item x="4"/>
        <item x="5"/>
      </items>
    </pivotField>
  </pivotFields>
  <rowFields count="1">
    <field x="8"/>
  </rowFields>
  <rowItems count="5">
    <i>
      <x v="7"/>
    </i>
    <i>
      <x v="11"/>
    </i>
    <i>
      <x v="13"/>
    </i>
    <i>
      <x v="9"/>
    </i>
    <i>
      <x v="5"/>
    </i>
  </rowItems>
  <colItems count="1">
    <i/>
  </colItems>
  <dataFields count="1">
    <dataField name="Sum of Unit Price" fld="5" baseField="0" baseItem="0" numFmtId="165"/>
  </dataFields>
  <chartFormats count="4">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 chart="3" format="0" series="1">
      <pivotArea type="data" outline="0" fieldPosition="0">
        <references count="1">
          <reference field="4294967294" count="1" selected="0">
            <x v="0"/>
          </reference>
        </references>
      </pivotArea>
    </chartFormat>
    <chartFormat chart="5"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8" type="count" evalOrder="-1" id="1"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Lst>
</pivotTableDefinition>
</file>

<file path=xl/pivotTables/pivotTable14.xml><?xml version="1.0" encoding="utf-8"?>
<pivotTableDefinition xmlns="http://schemas.openxmlformats.org/spreadsheetml/2006/main" name="PivotTable8" cacheId="0" applyNumberFormats="0" applyBorderFormats="0" applyFontFormats="0" applyPatternFormats="0" applyAlignmentFormats="0" applyWidthHeightFormats="1" dataCaption="Values" updatedVersion="5" minRefreshableVersion="3" useAutoFormatting="1" rowGrandTotals="0" itemPrintTitles="1" createdVersion="5" indent="0" outline="1" outlineData="1" multipleFieldFilters="0" rowHeaderCaption="Product">
  <location ref="D24:E31" firstHeaderRow="1" firstDataRow="1" firstDataCol="1"/>
  <pivotFields count="10">
    <pivotField numFmtId="164" showAll="0">
      <items count="15">
        <item x="0"/>
        <item x="1"/>
        <item x="2"/>
        <item x="3"/>
        <item x="4"/>
        <item x="5"/>
        <item x="6"/>
        <item x="7"/>
        <item x="8"/>
        <item x="9"/>
        <item x="10"/>
        <item x="11"/>
        <item x="12"/>
        <item x="13"/>
        <item t="default"/>
      </items>
    </pivotField>
    <pivotField showAll="0">
      <items count="5">
        <item x="3"/>
        <item x="2"/>
        <item x="1"/>
        <item x="0"/>
        <item t="default"/>
      </items>
    </pivotField>
    <pivotField axis="axisRow" showAll="0">
      <items count="8">
        <item x="1"/>
        <item x="2"/>
        <item x="3"/>
        <item x="4"/>
        <item x="5"/>
        <item x="6"/>
        <item x="0"/>
        <item t="default"/>
      </items>
    </pivotField>
    <pivotField showAll="0">
      <items count="8">
        <item x="1"/>
        <item x="2"/>
        <item x="3"/>
        <item x="4"/>
        <item x="0"/>
        <item m="1" x="6"/>
        <item x="5"/>
        <item t="default"/>
      </items>
    </pivotField>
    <pivotField showAll="0"/>
    <pivotField dataField="1" numFmtId="165" showAll="0"/>
    <pivotField numFmtId="165" showAll="0"/>
    <pivotField showAll="0"/>
    <pivotField showAll="0"/>
    <pivotField showAll="0" defaultSubtotal="0">
      <items count="6">
        <item x="0"/>
        <item x="1"/>
        <item x="2"/>
        <item x="3"/>
        <item x="4"/>
        <item x="5"/>
      </items>
    </pivotField>
  </pivotFields>
  <rowFields count="1">
    <field x="2"/>
  </rowFields>
  <rowItems count="7">
    <i>
      <x/>
    </i>
    <i>
      <x v="1"/>
    </i>
    <i>
      <x v="2"/>
    </i>
    <i>
      <x v="3"/>
    </i>
    <i>
      <x v="4"/>
    </i>
    <i>
      <x v="5"/>
    </i>
    <i>
      <x v="6"/>
    </i>
  </rowItems>
  <colItems count="1">
    <i/>
  </colItems>
  <dataFields count="1">
    <dataField name="Average of Unit Price" fld="5" subtotal="average" baseField="2"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15.xml><?xml version="1.0" encoding="utf-8"?>
<pivotTableDefinition xmlns="http://schemas.openxmlformats.org/spreadsheetml/2006/main" name="PivotTable2" cacheId="0" applyNumberFormats="0" applyBorderFormats="0" applyFontFormats="0" applyPatternFormats="0" applyAlignmentFormats="0" applyWidthHeightFormats="1" dataCaption="Values" updatedVersion="5" minRefreshableVersion="3" useAutoFormatting="1" rowGrandTotals="0" itemPrintTitles="1" createdVersion="5" indent="0" outline="1" outlineData="1" multipleFieldFilters="0" chartFormat="1" rowHeaderCaption="Regon">
  <location ref="D3:E7" firstHeaderRow="1" firstDataRow="1" firstDataCol="1"/>
  <pivotFields count="10">
    <pivotField numFmtId="164" showAll="0">
      <items count="15">
        <item x="0"/>
        <item x="1"/>
        <item x="2"/>
        <item x="3"/>
        <item x="4"/>
        <item x="5"/>
        <item x="6"/>
        <item x="7"/>
        <item x="8"/>
        <item x="9"/>
        <item x="10"/>
        <item x="11"/>
        <item x="12"/>
        <item x="13"/>
        <item t="default"/>
      </items>
    </pivotField>
    <pivotField axis="axisRow" showAll="0">
      <items count="5">
        <item x="3"/>
        <item x="2"/>
        <item x="1"/>
        <item x="0"/>
        <item t="default"/>
      </items>
    </pivotField>
    <pivotField showAll="0">
      <items count="8">
        <item x="1"/>
        <item x="2"/>
        <item x="3"/>
        <item x="4"/>
        <item x="5"/>
        <item x="6"/>
        <item x="0"/>
        <item t="default"/>
      </items>
    </pivotField>
    <pivotField showAll="0">
      <items count="8">
        <item x="1"/>
        <item x="2"/>
        <item x="3"/>
        <item x="4"/>
        <item x="0"/>
        <item m="1" x="6"/>
        <item x="5"/>
        <item t="default"/>
      </items>
    </pivotField>
    <pivotField showAll="0"/>
    <pivotField numFmtId="165" showAll="0"/>
    <pivotField dataField="1" numFmtId="165" showAll="0"/>
    <pivotField showAll="0"/>
    <pivotField showAll="0"/>
    <pivotField showAll="0" defaultSubtotal="0">
      <items count="6">
        <item x="0"/>
        <item x="1"/>
        <item x="2"/>
        <item x="3"/>
        <item x="4"/>
        <item x="5"/>
      </items>
    </pivotField>
  </pivotFields>
  <rowFields count="1">
    <field x="1"/>
  </rowFields>
  <rowItems count="4">
    <i>
      <x/>
    </i>
    <i>
      <x v="1"/>
    </i>
    <i>
      <x v="2"/>
    </i>
    <i>
      <x v="3"/>
    </i>
  </rowItems>
  <colItems count="1">
    <i/>
  </colItems>
  <dataFields count="1">
    <dataField name="Sum of Total sales" fld="6" baseField="0" baseItem="0" numFmtId="165"/>
  </dataFields>
  <chartFormats count="5">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1" count="1" selected="0">
            <x v="0"/>
          </reference>
        </references>
      </pivotArea>
    </chartFormat>
    <chartFormat chart="0" format="2">
      <pivotArea type="data" outline="0" fieldPosition="0">
        <references count="2">
          <reference field="4294967294" count="1" selected="0">
            <x v="0"/>
          </reference>
          <reference field="1" count="1" selected="0">
            <x v="1"/>
          </reference>
        </references>
      </pivotArea>
    </chartFormat>
    <chartFormat chart="0" format="3">
      <pivotArea type="data" outline="0" fieldPosition="0">
        <references count="2">
          <reference field="4294967294" count="1" selected="0">
            <x v="0"/>
          </reference>
          <reference field="1" count="1" selected="0">
            <x v="2"/>
          </reference>
        </references>
      </pivotArea>
    </chartFormat>
    <chartFormat chart="0" format="4">
      <pivotArea type="data" outline="0" fieldPosition="0">
        <references count="2">
          <reference field="4294967294" count="1" selected="0">
            <x v="0"/>
          </reference>
          <reference field="1"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16.xml><?xml version="1.0" encoding="utf-8"?>
<pivotTableDefinition xmlns="http://schemas.openxmlformats.org/spreadsheetml/2006/main" name="PivotTable14" cacheId="0" applyNumberFormats="0" applyBorderFormats="0" applyFontFormats="0" applyPatternFormats="0" applyAlignmentFormats="0" applyWidthHeightFormats="1" dataCaption="Values" updatedVersion="5" minRefreshableVersion="3" useAutoFormatting="1" rowGrandTotals="0" itemPrintTitles="1" createdVersion="5" indent="0" outline="1" outlineData="1" multipleFieldFilters="0" rowHeaderCaption="Product">
  <location ref="J20:K25" firstHeaderRow="1" firstDataRow="1" firstDataCol="1"/>
  <pivotFields count="10">
    <pivotField numFmtId="164" showAll="0">
      <items count="15">
        <item x="0"/>
        <item x="1"/>
        <item x="2"/>
        <item x="3"/>
        <item x="4"/>
        <item x="5"/>
        <item x="6"/>
        <item x="7"/>
        <item x="8"/>
        <item x="9"/>
        <item x="10"/>
        <item x="11"/>
        <item x="12"/>
        <item x="13"/>
        <item t="default"/>
      </items>
    </pivotField>
    <pivotField showAll="0">
      <items count="5">
        <item x="3"/>
        <item x="2"/>
        <item x="1"/>
        <item x="0"/>
        <item t="default"/>
      </items>
    </pivotField>
    <pivotField showAll="0">
      <items count="8">
        <item x="1"/>
        <item x="2"/>
        <item x="3"/>
        <item x="4"/>
        <item x="5"/>
        <item x="6"/>
        <item x="0"/>
        <item t="default"/>
      </items>
    </pivotField>
    <pivotField showAll="0">
      <items count="8">
        <item x="1"/>
        <item x="2"/>
        <item x="3"/>
        <item x="4"/>
        <item x="0"/>
        <item m="1" x="6"/>
        <item x="5"/>
        <item t="default"/>
      </items>
    </pivotField>
    <pivotField showAll="0"/>
    <pivotField dataField="1" numFmtId="165" showAll="0"/>
    <pivotField numFmtId="165" showAll="0"/>
    <pivotField showAll="0"/>
    <pivotField axis="axisRow" showAll="0" measureFilter="1">
      <items count="15">
        <item x="0"/>
        <item x="1"/>
        <item x="2"/>
        <item x="3"/>
        <item x="4"/>
        <item x="5"/>
        <item x="6"/>
        <item x="7"/>
        <item x="8"/>
        <item x="9"/>
        <item x="10"/>
        <item x="12"/>
        <item x="11"/>
        <item x="13"/>
        <item t="default"/>
      </items>
    </pivotField>
    <pivotField showAll="0" defaultSubtotal="0">
      <items count="6">
        <item x="0"/>
        <item x="1"/>
        <item x="2"/>
        <item x="3"/>
        <item x="4"/>
        <item x="5"/>
      </items>
    </pivotField>
  </pivotFields>
  <rowFields count="1">
    <field x="8"/>
  </rowFields>
  <rowItems count="5">
    <i>
      <x v="5"/>
    </i>
    <i>
      <x v="7"/>
    </i>
    <i>
      <x v="9"/>
    </i>
    <i>
      <x v="11"/>
    </i>
    <i>
      <x v="13"/>
    </i>
  </rowItems>
  <colItems count="1">
    <i/>
  </colItems>
  <dataFields count="1">
    <dataField name="Sum of Unit Price" fld="5" baseField="0" baseItem="0" numFmtId="165"/>
  </dataFields>
  <pivotTableStyleInfo name="PivotStyleLight16" showRowHeaders="1" showColHeaders="1" showRowStripes="0" showColStripes="0" showLastColumn="1"/>
  <filters count="1">
    <filter fld="8" type="count" evalOrder="-1" id="1"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Lst>
</pivotTableDefinition>
</file>

<file path=xl/pivotTables/pivotTable17.xml><?xml version="1.0" encoding="utf-8"?>
<pivotTableDefinition xmlns="http://schemas.openxmlformats.org/spreadsheetml/2006/main" name="PivotTable11" cacheId="0" applyNumberFormats="0" applyBorderFormats="0" applyFontFormats="0" applyPatternFormats="0" applyAlignmentFormats="0" applyWidthHeightFormats="1" dataCaption="Values" updatedVersion="5" minRefreshableVersion="3" useAutoFormatting="1" rowGrandTotals="0" itemPrintTitles="1" createdVersion="5" indent="0" outline="1" outlineData="1" multipleFieldFilters="0" rowHeaderCaption="Sales Rep">
  <location ref="D27:E37" firstHeaderRow="1" firstDataRow="1" firstDataCol="1"/>
  <pivotFields count="10">
    <pivotField numFmtId="164" showAll="0">
      <items count="15">
        <item x="0"/>
        <item x="1"/>
        <item x="2"/>
        <item x="3"/>
        <item x="4"/>
        <item x="5"/>
        <item x="6"/>
        <item x="7"/>
        <item x="8"/>
        <item x="9"/>
        <item x="10"/>
        <item x="11"/>
        <item x="12"/>
        <item x="13"/>
        <item t="default"/>
      </items>
    </pivotField>
    <pivotField showAll="0">
      <items count="5">
        <item x="3"/>
        <item x="2"/>
        <item x="1"/>
        <item x="0"/>
        <item t="default"/>
      </items>
    </pivotField>
    <pivotField showAll="0">
      <items count="8">
        <item x="1"/>
        <item x="2"/>
        <item x="3"/>
        <item x="4"/>
        <item x="5"/>
        <item x="6"/>
        <item x="0"/>
        <item t="default"/>
      </items>
    </pivotField>
    <pivotField showAll="0">
      <items count="8">
        <item x="1"/>
        <item x="2"/>
        <item x="3"/>
        <item x="4"/>
        <item x="0"/>
        <item m="1" x="6"/>
        <item x="5"/>
        <item t="default"/>
      </items>
    </pivotField>
    <pivotField showAll="0"/>
    <pivotField numFmtId="165" showAll="0"/>
    <pivotField dataField="1" numFmtId="165" showAll="0"/>
    <pivotField axis="axisRow" showAll="0" sortType="descending">
      <items count="11">
        <item x="0"/>
        <item x="1"/>
        <item x="2"/>
        <item x="3"/>
        <item x="4"/>
        <item x="5"/>
        <item x="6"/>
        <item x="7"/>
        <item x="8"/>
        <item x="9"/>
        <item t="default"/>
      </items>
      <autoSortScope>
        <pivotArea dataOnly="0" outline="0" fieldPosition="0">
          <references count="1">
            <reference field="4294967294" count="1" selected="0">
              <x v="0"/>
            </reference>
          </references>
        </pivotArea>
      </autoSortScope>
    </pivotField>
    <pivotField showAll="0"/>
    <pivotField showAll="0" defaultSubtotal="0">
      <items count="6">
        <item x="0"/>
        <item x="1"/>
        <item x="2"/>
        <item x="3"/>
        <item x="4"/>
        <item x="5"/>
      </items>
    </pivotField>
  </pivotFields>
  <rowFields count="1">
    <field x="7"/>
  </rowFields>
  <rowItems count="10">
    <i>
      <x v="8"/>
    </i>
    <i>
      <x v="4"/>
    </i>
    <i>
      <x v="2"/>
    </i>
    <i>
      <x v="3"/>
    </i>
    <i>
      <x v="5"/>
    </i>
    <i>
      <x v="7"/>
    </i>
    <i>
      <x v="1"/>
    </i>
    <i>
      <x v="6"/>
    </i>
    <i>
      <x v="9"/>
    </i>
    <i>
      <x/>
    </i>
  </rowItems>
  <colItems count="1">
    <i/>
  </colItems>
  <dataFields count="1">
    <dataField name="Sum of Total sales" fld="6" baseField="0" baseItem="0" numFmtId="165"/>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18.xml><?xml version="1.0" encoding="utf-8"?>
<pivotTableDefinition xmlns="http://schemas.openxmlformats.org/spreadsheetml/2006/main" name="PivotTable7" cacheId="0" applyNumberFormats="0" applyBorderFormats="0" applyFontFormats="0" applyPatternFormats="0" applyAlignmentFormats="0" applyWidthHeightFormats="1" dataCaption="Values" updatedVersion="5" minRefreshableVersion="3" useAutoFormatting="1" rowGrandTotals="0" itemPrintTitles="1" createdVersion="5" indent="0" outline="1" outlineData="1" multipleFieldFilters="0" chartFormat="5" rowHeaderCaption="Date">
  <location ref="G12:H20" firstHeaderRow="1" firstDataRow="1" firstDataCol="1"/>
  <pivotFields count="10">
    <pivotField axis="axisRow" numFmtId="164" showAll="0">
      <items count="15">
        <item x="0"/>
        <item x="1"/>
        <item x="2"/>
        <item x="3"/>
        <item x="4"/>
        <item x="5"/>
        <item x="6"/>
        <item x="7"/>
        <item x="8"/>
        <item x="9"/>
        <item x="10"/>
        <item x="11"/>
        <item x="12"/>
        <item x="13"/>
        <item t="default"/>
      </items>
    </pivotField>
    <pivotField showAll="0">
      <items count="5">
        <item x="3"/>
        <item x="2"/>
        <item x="1"/>
        <item x="0"/>
        <item t="default"/>
      </items>
    </pivotField>
    <pivotField showAll="0">
      <items count="8">
        <item x="1"/>
        <item x="2"/>
        <item x="3"/>
        <item x="4"/>
        <item x="5"/>
        <item x="6"/>
        <item x="0"/>
        <item t="default"/>
      </items>
    </pivotField>
    <pivotField showAll="0">
      <items count="8">
        <item x="1"/>
        <item x="2"/>
        <item x="3"/>
        <item x="4"/>
        <item x="0"/>
        <item m="1" x="6"/>
        <item x="5"/>
        <item t="default"/>
      </items>
    </pivotField>
    <pivotField showAll="0"/>
    <pivotField numFmtId="165" showAll="0"/>
    <pivotField dataField="1" numFmtId="165" showAll="0"/>
    <pivotField showAll="0"/>
    <pivotField showAll="0"/>
    <pivotField axis="axisRow" showAll="0" defaultSubtotal="0">
      <items count="6">
        <item x="0"/>
        <item x="1"/>
        <item x="2"/>
        <item x="3"/>
        <item x="4"/>
        <item x="5"/>
      </items>
    </pivotField>
  </pivotFields>
  <rowFields count="2">
    <field x="9"/>
    <field x="0"/>
  </rowFields>
  <rowItems count="8">
    <i>
      <x v="1"/>
    </i>
    <i r="1">
      <x v="1"/>
    </i>
    <i r="1">
      <x v="2"/>
    </i>
    <i r="1">
      <x v="3"/>
    </i>
    <i>
      <x v="2"/>
    </i>
    <i r="1">
      <x v="4"/>
    </i>
    <i r="1">
      <x v="5"/>
    </i>
    <i r="1">
      <x v="6"/>
    </i>
  </rowItems>
  <colItems count="1">
    <i/>
  </colItems>
  <dataFields count="1">
    <dataField name="Sum of Total sales" fld="6" baseField="0" baseItem="0" numFmtId="165"/>
  </dataFields>
  <chartFormats count="2">
    <chartFormat chart="2" format="2" series="1">
      <pivotArea type="data" outline="0" fieldPosition="0">
        <references count="1">
          <reference field="4294967294" count="1" selected="0">
            <x v="0"/>
          </reference>
        </references>
      </pivotArea>
    </chartFormat>
    <chartFormat chart="4"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19.xml><?xml version="1.0" encoding="utf-8"?>
<pivotTableDefinition xmlns="http://schemas.openxmlformats.org/spreadsheetml/2006/main" name="PivotTable13" cacheId="0" applyNumberFormats="0" applyBorderFormats="0" applyFontFormats="0" applyPatternFormats="0" applyAlignmentFormats="0" applyWidthHeightFormats="1" dataCaption="Values" updatedVersion="5" minRefreshableVersion="3" useAutoFormatting="1" rowGrandTotals="0" itemPrintTitles="1" createdVersion="5" indent="0" outline="1" outlineData="1" multipleFieldFilters="0" rowHeaderCaption="Product">
  <location ref="D18:E25" firstHeaderRow="1" firstDataRow="1" firstDataCol="1"/>
  <pivotFields count="10">
    <pivotField numFmtId="164" showAll="0">
      <items count="15">
        <item x="0"/>
        <item x="1"/>
        <item x="2"/>
        <item x="3"/>
        <item x="4"/>
        <item x="5"/>
        <item x="6"/>
        <item x="7"/>
        <item x="8"/>
        <item x="9"/>
        <item x="10"/>
        <item x="11"/>
        <item x="12"/>
        <item x="13"/>
        <item t="default"/>
      </items>
    </pivotField>
    <pivotField showAll="0">
      <items count="5">
        <item x="3"/>
        <item x="2"/>
        <item x="1"/>
        <item x="0"/>
        <item t="default"/>
      </items>
    </pivotField>
    <pivotField axis="axisRow" showAll="0">
      <items count="8">
        <item x="1"/>
        <item x="2"/>
        <item x="3"/>
        <item x="4"/>
        <item x="5"/>
        <item x="6"/>
        <item x="0"/>
        <item t="default"/>
      </items>
    </pivotField>
    <pivotField showAll="0">
      <items count="8">
        <item x="1"/>
        <item x="2"/>
        <item x="3"/>
        <item x="4"/>
        <item x="0"/>
        <item m="1" x="6"/>
        <item x="5"/>
        <item t="default"/>
      </items>
    </pivotField>
    <pivotField showAll="0"/>
    <pivotField dataField="1" numFmtId="165" showAll="0"/>
    <pivotField numFmtId="165" showAll="0"/>
    <pivotField showAll="0"/>
    <pivotField showAll="0"/>
    <pivotField showAll="0" defaultSubtotal="0">
      <items count="6">
        <item x="0"/>
        <item x="1"/>
        <item x="2"/>
        <item x="3"/>
        <item x="4"/>
        <item x="5"/>
      </items>
    </pivotField>
  </pivotFields>
  <rowFields count="1">
    <field x="2"/>
  </rowFields>
  <rowItems count="7">
    <i>
      <x/>
    </i>
    <i>
      <x v="1"/>
    </i>
    <i>
      <x v="2"/>
    </i>
    <i>
      <x v="3"/>
    </i>
    <i>
      <x v="4"/>
    </i>
    <i>
      <x v="5"/>
    </i>
    <i>
      <x v="6"/>
    </i>
  </rowItems>
  <colItems count="1">
    <i/>
  </colItems>
  <dataFields count="1">
    <dataField name="Average of Unit Price" fld="5" subtotal="average" baseField="2" baseItem="0" numFmtId="165"/>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20.xml><?xml version="1.0" encoding="utf-8"?>
<pivotTableDefinition xmlns="http://schemas.openxmlformats.org/spreadsheetml/2006/main" name="PivotTable16" cacheId="0" applyNumberFormats="0" applyBorderFormats="0" applyFontFormats="0" applyPatternFormats="0" applyAlignmentFormats="0" applyWidthHeightFormats="1" dataCaption="Values" updatedVersion="5" minRefreshableVersion="3" useAutoFormatting="1" rowGrandTotals="0" itemPrintTitles="1" createdVersion="5" indent="0" outline="1" outlineData="1" multipleFieldFilters="0" rowHeaderCaption="Sales Rep">
  <location ref="J30:K40" firstHeaderRow="1" firstDataRow="1" firstDataCol="1"/>
  <pivotFields count="10">
    <pivotField numFmtId="164" showAll="0">
      <items count="15">
        <item x="0"/>
        <item x="1"/>
        <item x="2"/>
        <item x="3"/>
        <item x="4"/>
        <item x="5"/>
        <item x="6"/>
        <item x="7"/>
        <item x="8"/>
        <item x="9"/>
        <item x="10"/>
        <item x="11"/>
        <item x="12"/>
        <item x="13"/>
        <item t="default"/>
      </items>
    </pivotField>
    <pivotField showAll="0">
      <items count="5">
        <item x="3"/>
        <item x="2"/>
        <item x="1"/>
        <item x="0"/>
        <item t="default"/>
      </items>
    </pivotField>
    <pivotField showAll="0">
      <items count="8">
        <item x="1"/>
        <item x="2"/>
        <item x="3"/>
        <item x="4"/>
        <item x="5"/>
        <item x="6"/>
        <item x="0"/>
        <item t="default"/>
      </items>
    </pivotField>
    <pivotField showAll="0">
      <items count="8">
        <item x="1"/>
        <item x="2"/>
        <item x="3"/>
        <item x="4"/>
        <item x="0"/>
        <item m="1" x="6"/>
        <item x="5"/>
        <item t="default"/>
      </items>
    </pivotField>
    <pivotField showAll="0"/>
    <pivotField numFmtId="165" showAll="0"/>
    <pivotField dataField="1" numFmtId="165" showAll="0"/>
    <pivotField axis="axisRow" showAll="0" sortType="descending">
      <items count="11">
        <item x="0"/>
        <item x="1"/>
        <item x="2"/>
        <item x="3"/>
        <item x="4"/>
        <item x="5"/>
        <item x="6"/>
        <item x="7"/>
        <item x="8"/>
        <item x="9"/>
        <item t="default"/>
      </items>
      <autoSortScope>
        <pivotArea dataOnly="0" outline="0" fieldPosition="0">
          <references count="1">
            <reference field="4294967294" count="1" selected="0">
              <x v="0"/>
            </reference>
          </references>
        </pivotArea>
      </autoSortScope>
    </pivotField>
    <pivotField showAll="0"/>
    <pivotField showAll="0" defaultSubtotal="0">
      <items count="6">
        <item x="0"/>
        <item x="1"/>
        <item x="2"/>
        <item x="3"/>
        <item x="4"/>
        <item x="5"/>
      </items>
    </pivotField>
  </pivotFields>
  <rowFields count="1">
    <field x="7"/>
  </rowFields>
  <rowItems count="10">
    <i>
      <x v="8"/>
    </i>
    <i>
      <x v="4"/>
    </i>
    <i>
      <x v="2"/>
    </i>
    <i>
      <x v="3"/>
    </i>
    <i>
      <x v="5"/>
    </i>
    <i>
      <x v="7"/>
    </i>
    <i>
      <x v="1"/>
    </i>
    <i>
      <x v="6"/>
    </i>
    <i>
      <x v="9"/>
    </i>
    <i>
      <x/>
    </i>
  </rowItems>
  <colItems count="1">
    <i/>
  </colItems>
  <dataFields count="1">
    <dataField name="Sum of Total sales" fld="6" baseField="0" baseItem="0" numFmtId="165"/>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21.xml><?xml version="1.0" encoding="utf-8"?>
<pivotTableDefinition xmlns="http://schemas.openxmlformats.org/spreadsheetml/2006/main" name="PivotTable10" cacheId="0" applyNumberFormats="0" applyBorderFormats="0" applyFontFormats="0" applyPatternFormats="0" applyAlignmentFormats="0" applyWidthHeightFormats="1" dataCaption="Values" updatedVersion="5" minRefreshableVersion="3" useAutoFormatting="1" rowGrandTotals="0" itemPrintTitles="1" createdVersion="5" indent="0" outline="1" outlineData="1" multipleFieldFilters="0" rowHeaderCaption="C.ategory">
  <location ref="D39:E45" firstHeaderRow="1" firstDataRow="1" firstDataCol="1"/>
  <pivotFields count="10">
    <pivotField numFmtId="164" showAll="0">
      <items count="15">
        <item x="0"/>
        <item x="1"/>
        <item x="2"/>
        <item x="3"/>
        <item x="4"/>
        <item x="5"/>
        <item x="6"/>
        <item x="7"/>
        <item x="8"/>
        <item x="9"/>
        <item x="10"/>
        <item x="11"/>
        <item x="12"/>
        <item x="13"/>
        <item t="default"/>
      </items>
    </pivotField>
    <pivotField showAll="0">
      <items count="5">
        <item x="3"/>
        <item x="2"/>
        <item x="1"/>
        <item x="0"/>
        <item t="default"/>
      </items>
    </pivotField>
    <pivotField showAll="0">
      <items count="8">
        <item x="1"/>
        <item x="2"/>
        <item x="3"/>
        <item x="4"/>
        <item x="5"/>
        <item x="6"/>
        <item x="0"/>
        <item t="default"/>
      </items>
    </pivotField>
    <pivotField axis="axisRow" showAll="0">
      <items count="8">
        <item x="1"/>
        <item x="2"/>
        <item x="3"/>
        <item x="4"/>
        <item x="0"/>
        <item m="1" x="6"/>
        <item x="5"/>
        <item t="default"/>
      </items>
    </pivotField>
    <pivotField dataField="1" showAll="0"/>
    <pivotField numFmtId="165" showAll="0"/>
    <pivotField numFmtId="165" showAll="0"/>
    <pivotField showAll="0"/>
    <pivotField showAll="0"/>
    <pivotField showAll="0" defaultSubtotal="0">
      <items count="6">
        <item x="0"/>
        <item x="1"/>
        <item x="2"/>
        <item x="3"/>
        <item x="4"/>
        <item x="5"/>
      </items>
    </pivotField>
  </pivotFields>
  <rowFields count="1">
    <field x="3"/>
  </rowFields>
  <rowItems count="6">
    <i>
      <x/>
    </i>
    <i>
      <x v="1"/>
    </i>
    <i>
      <x v="2"/>
    </i>
    <i>
      <x v="3"/>
    </i>
    <i>
      <x v="4"/>
    </i>
    <i>
      <x v="6"/>
    </i>
  </rowItems>
  <colItems count="1">
    <i/>
  </colItems>
  <dataFields count="1">
    <dataField name="Sum of Units Sold" fld="4"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22.xml><?xml version="1.0" encoding="utf-8"?>
<pivotTableDefinition xmlns="http://schemas.openxmlformats.org/spreadsheetml/2006/main" name="PivotTable3" cacheId="0" applyNumberFormats="0" applyBorderFormats="0" applyFontFormats="0" applyPatternFormats="0" applyAlignmentFormats="0" applyWidthHeightFormats="1" dataCaption="Values" updatedVersion="5" minRefreshableVersion="3" useAutoFormatting="1" itemPrintTitles="1" createdVersion="5" indent="0" outline="1" outlineData="1" multipleFieldFilters="0" rowHeaderCaption="Categories">
  <location ref="G3:H10" firstHeaderRow="1" firstDataRow="1" firstDataCol="1"/>
  <pivotFields count="10">
    <pivotField numFmtId="164" showAll="0">
      <items count="15">
        <item x="0"/>
        <item x="1"/>
        <item x="2"/>
        <item x="3"/>
        <item x="4"/>
        <item x="5"/>
        <item x="6"/>
        <item x="7"/>
        <item x="8"/>
        <item x="9"/>
        <item x="10"/>
        <item x="11"/>
        <item x="12"/>
        <item x="13"/>
        <item t="default"/>
      </items>
    </pivotField>
    <pivotField showAll="0">
      <items count="5">
        <item x="3"/>
        <item x="2"/>
        <item x="1"/>
        <item x="0"/>
        <item t="default"/>
      </items>
    </pivotField>
    <pivotField showAll="0">
      <items count="8">
        <item x="1"/>
        <item x="2"/>
        <item x="3"/>
        <item x="4"/>
        <item x="5"/>
        <item x="6"/>
        <item x="0"/>
        <item t="default"/>
      </items>
    </pivotField>
    <pivotField axis="axisRow" showAll="0">
      <items count="8">
        <item x="1"/>
        <item x="2"/>
        <item x="3"/>
        <item x="4"/>
        <item x="0"/>
        <item m="1" x="6"/>
        <item x="5"/>
        <item t="default"/>
      </items>
    </pivotField>
    <pivotField showAll="0"/>
    <pivotField numFmtId="165" showAll="0"/>
    <pivotField dataField="1" numFmtId="165" showAll="0"/>
    <pivotField showAll="0"/>
    <pivotField showAll="0"/>
    <pivotField showAll="0" defaultSubtotal="0">
      <items count="6">
        <item x="0"/>
        <item x="1"/>
        <item x="2"/>
        <item x="3"/>
        <item x="4"/>
        <item x="5"/>
      </items>
    </pivotField>
  </pivotFields>
  <rowFields count="1">
    <field x="3"/>
  </rowFields>
  <rowItems count="7">
    <i>
      <x/>
    </i>
    <i>
      <x v="1"/>
    </i>
    <i>
      <x v="2"/>
    </i>
    <i>
      <x v="3"/>
    </i>
    <i>
      <x v="4"/>
    </i>
    <i>
      <x v="6"/>
    </i>
    <i t="grand">
      <x/>
    </i>
  </rowItems>
  <colItems count="1">
    <i/>
  </colItems>
  <dataFields count="1">
    <dataField name="Sum of Total sales" fld="6" baseField="0" baseItem="0" numFmtId="165"/>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23.xml><?xml version="1.0" encoding="utf-8"?>
<pivotTableDefinition xmlns="http://schemas.openxmlformats.org/spreadsheetml/2006/main" name="PivotTable12" cacheId="0" applyNumberFormats="0" applyBorderFormats="0" applyFontFormats="0" applyPatternFormats="0" applyAlignmentFormats="0" applyWidthHeightFormats="1" dataCaption="Values" updatedVersion="5" minRefreshableVersion="3" useAutoFormatting="1" rowGrandTotals="0" itemPrintTitles="1" createdVersion="5" indent="0" outline="1" outlineData="1" multipleFieldFilters="0" rowHeaderCaption="Product">
  <location ref="D9:E16" firstHeaderRow="1" firstDataRow="1" firstDataCol="1"/>
  <pivotFields count="10">
    <pivotField numFmtId="164" showAll="0">
      <items count="15">
        <item x="0"/>
        <item x="1"/>
        <item x="2"/>
        <item x="3"/>
        <item x="4"/>
        <item x="5"/>
        <item x="6"/>
        <item x="7"/>
        <item x="8"/>
        <item x="9"/>
        <item x="10"/>
        <item x="11"/>
        <item x="12"/>
        <item x="13"/>
        <item t="default"/>
      </items>
    </pivotField>
    <pivotField showAll="0">
      <items count="5">
        <item x="3"/>
        <item x="2"/>
        <item x="1"/>
        <item x="0"/>
        <item t="default"/>
      </items>
    </pivotField>
    <pivotField axis="axisRow" showAll="0">
      <items count="8">
        <item x="1"/>
        <item x="2"/>
        <item x="3"/>
        <item x="4"/>
        <item x="5"/>
        <item x="6"/>
        <item x="0"/>
        <item t="default"/>
      </items>
    </pivotField>
    <pivotField showAll="0">
      <items count="8">
        <item x="1"/>
        <item x="2"/>
        <item x="3"/>
        <item x="4"/>
        <item x="0"/>
        <item m="1" x="6"/>
        <item x="5"/>
        <item t="default"/>
      </items>
    </pivotField>
    <pivotField dataField="1" showAll="0"/>
    <pivotField numFmtId="165" showAll="0"/>
    <pivotField numFmtId="165" showAll="0"/>
    <pivotField showAll="0"/>
    <pivotField showAll="0"/>
    <pivotField showAll="0" defaultSubtotal="0">
      <items count="6">
        <item x="0"/>
        <item x="1"/>
        <item x="2"/>
        <item x="3"/>
        <item x="4"/>
        <item x="5"/>
      </items>
    </pivotField>
  </pivotFields>
  <rowFields count="1">
    <field x="2"/>
  </rowFields>
  <rowItems count="7">
    <i>
      <x/>
    </i>
    <i>
      <x v="1"/>
    </i>
    <i>
      <x v="2"/>
    </i>
    <i>
      <x v="3"/>
    </i>
    <i>
      <x v="4"/>
    </i>
    <i>
      <x v="5"/>
    </i>
    <i>
      <x v="6"/>
    </i>
  </rowItems>
  <colItems count="1">
    <i/>
  </colItems>
  <dataFields count="1">
    <dataField name="Sum of Units Sold" fld="4"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24.xml><?xml version="1.0" encoding="utf-8"?>
<pivotTableDefinition xmlns="http://schemas.openxmlformats.org/spreadsheetml/2006/main" name="PivotTable18" cacheId="0" applyNumberFormats="0" applyBorderFormats="0" applyFontFormats="0" applyPatternFormats="0" applyAlignmentFormats="0" applyWidthHeightFormats="1" dataCaption="Values" updatedVersion="5" minRefreshableVersion="3" useAutoFormatting="1" rowGrandTotals="0" itemPrintTitles="1" createdVersion="5" indent="0" outline="1" outlineData="1" multipleFieldFilters="0" rowHeaderCaption="Sales Rep">
  <location ref="M20:O61" firstHeaderRow="0" firstDataRow="1" firstDataCol="1"/>
  <pivotFields count="10">
    <pivotField numFmtId="164" showAll="0">
      <items count="15">
        <item x="0"/>
        <item x="1"/>
        <item x="2"/>
        <item x="3"/>
        <item x="4"/>
        <item x="5"/>
        <item x="6"/>
        <item x="7"/>
        <item x="8"/>
        <item x="9"/>
        <item x="10"/>
        <item x="11"/>
        <item x="12"/>
        <item x="13"/>
        <item t="default"/>
      </items>
    </pivotField>
    <pivotField axis="axisRow" showAll="0">
      <items count="5">
        <item x="3"/>
        <item x="2"/>
        <item x="1"/>
        <item x="0"/>
        <item t="default"/>
      </items>
    </pivotField>
    <pivotField showAll="0">
      <items count="8">
        <item x="1"/>
        <item x="2"/>
        <item x="3"/>
        <item x="4"/>
        <item x="5"/>
        <item x="6"/>
        <item x="0"/>
        <item t="default"/>
      </items>
    </pivotField>
    <pivotField showAll="0">
      <items count="8">
        <item x="1"/>
        <item x="2"/>
        <item x="3"/>
        <item x="4"/>
        <item x="0"/>
        <item m="1" x="6"/>
        <item x="5"/>
        <item t="default"/>
      </items>
    </pivotField>
    <pivotField dataField="1" showAll="0"/>
    <pivotField dataField="1" numFmtId="165" showAll="0"/>
    <pivotField numFmtId="165" showAll="0"/>
    <pivotField axis="axisRow" showAll="0">
      <items count="11">
        <item x="0"/>
        <item x="1"/>
        <item x="2"/>
        <item x="3"/>
        <item x="4"/>
        <item x="5"/>
        <item x="6"/>
        <item x="7"/>
        <item x="8"/>
        <item x="9"/>
        <item t="default"/>
      </items>
    </pivotField>
    <pivotField showAll="0"/>
    <pivotField showAll="0" defaultSubtotal="0">
      <items count="6">
        <item x="0"/>
        <item x="1"/>
        <item x="2"/>
        <item x="3"/>
        <item x="4"/>
        <item x="5"/>
      </items>
    </pivotField>
  </pivotFields>
  <rowFields count="2">
    <field x="7"/>
    <field x="1"/>
  </rowFields>
  <rowItems count="41">
    <i>
      <x/>
    </i>
    <i r="1">
      <x v="3"/>
    </i>
    <i>
      <x v="1"/>
    </i>
    <i r="1">
      <x/>
    </i>
    <i r="1">
      <x v="1"/>
    </i>
    <i r="1">
      <x v="2"/>
    </i>
    <i r="1">
      <x v="3"/>
    </i>
    <i>
      <x v="2"/>
    </i>
    <i r="1">
      <x/>
    </i>
    <i r="1">
      <x v="1"/>
    </i>
    <i r="1">
      <x v="2"/>
    </i>
    <i r="1">
      <x v="3"/>
    </i>
    <i>
      <x v="3"/>
    </i>
    <i r="1">
      <x/>
    </i>
    <i r="1">
      <x v="1"/>
    </i>
    <i r="1">
      <x v="2"/>
    </i>
    <i r="1">
      <x v="3"/>
    </i>
    <i>
      <x v="4"/>
    </i>
    <i r="1">
      <x/>
    </i>
    <i r="1">
      <x v="1"/>
    </i>
    <i r="1">
      <x v="2"/>
    </i>
    <i r="1">
      <x v="3"/>
    </i>
    <i>
      <x v="5"/>
    </i>
    <i r="1">
      <x/>
    </i>
    <i r="1">
      <x v="1"/>
    </i>
    <i r="1">
      <x v="2"/>
    </i>
    <i r="1">
      <x v="3"/>
    </i>
    <i>
      <x v="6"/>
    </i>
    <i r="1">
      <x/>
    </i>
    <i>
      <x v="7"/>
    </i>
    <i r="1">
      <x/>
    </i>
    <i r="1">
      <x v="1"/>
    </i>
    <i r="1">
      <x v="2"/>
    </i>
    <i r="1">
      <x v="3"/>
    </i>
    <i>
      <x v="8"/>
    </i>
    <i r="1">
      <x/>
    </i>
    <i r="1">
      <x v="1"/>
    </i>
    <i r="1">
      <x v="2"/>
    </i>
    <i r="1">
      <x v="3"/>
    </i>
    <i>
      <x v="9"/>
    </i>
    <i r="1">
      <x v="1"/>
    </i>
  </rowItems>
  <colFields count="1">
    <field x="-2"/>
  </colFields>
  <colItems count="2">
    <i>
      <x/>
    </i>
    <i i="1">
      <x v="1"/>
    </i>
  </colItems>
  <dataFields count="2">
    <dataField name="Sum of Unit Price" fld="5" baseField="0" baseItem="0" numFmtId="165"/>
    <dataField name="Sum of Units Sold" fld="4"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25.xml><?xml version="1.0" encoding="utf-8"?>
<pivotTableDefinition xmlns="http://schemas.openxmlformats.org/spreadsheetml/2006/main" name="PivotTable5" cacheId="0" applyNumberFormats="0" applyBorderFormats="0" applyFontFormats="0" applyPatternFormats="0" applyAlignmentFormats="0" applyWidthHeightFormats="1" dataCaption="Values" updatedVersion="5" minRefreshableVersion="3" useAutoFormatting="1" rowGrandTotals="0" colGrandTotals="0" itemPrintTitles="1" createdVersion="5" indent="0" outline="1" outlineData="1" multipleFieldFilters="0" chartFormat="5" rowHeaderCaption="Region">
  <location ref="J12:Q17" firstHeaderRow="1" firstDataRow="2" firstDataCol="1"/>
  <pivotFields count="10">
    <pivotField numFmtId="164" showAll="0">
      <items count="15">
        <item x="0"/>
        <item x="1"/>
        <item x="2"/>
        <item x="3"/>
        <item x="4"/>
        <item x="5"/>
        <item x="6"/>
        <item x="7"/>
        <item x="8"/>
        <item x="9"/>
        <item x="10"/>
        <item x="11"/>
        <item x="12"/>
        <item x="13"/>
        <item t="default"/>
      </items>
    </pivotField>
    <pivotField axis="axisRow" showAll="0">
      <items count="5">
        <item x="3"/>
        <item x="2"/>
        <item x="1"/>
        <item x="0"/>
        <item t="default"/>
      </items>
    </pivotField>
    <pivotField axis="axisCol" showAll="0">
      <items count="8">
        <item x="1"/>
        <item x="2"/>
        <item x="3"/>
        <item x="4"/>
        <item x="5"/>
        <item x="6"/>
        <item x="0"/>
        <item t="default"/>
      </items>
    </pivotField>
    <pivotField showAll="0">
      <items count="8">
        <item x="1"/>
        <item x="2"/>
        <item x="3"/>
        <item x="4"/>
        <item x="0"/>
        <item m="1" x="6"/>
        <item x="5"/>
        <item t="default"/>
      </items>
    </pivotField>
    <pivotField showAll="0"/>
    <pivotField numFmtId="165" showAll="0"/>
    <pivotField dataField="1" numFmtId="165" showAll="0"/>
    <pivotField showAll="0"/>
    <pivotField showAll="0"/>
    <pivotField showAll="0" defaultSubtotal="0">
      <items count="6">
        <item x="0"/>
        <item x="1"/>
        <item x="2"/>
        <item x="3"/>
        <item x="4"/>
        <item x="5"/>
      </items>
    </pivotField>
  </pivotFields>
  <rowFields count="1">
    <field x="1"/>
  </rowFields>
  <rowItems count="4">
    <i>
      <x/>
    </i>
    <i>
      <x v="1"/>
    </i>
    <i>
      <x v="2"/>
    </i>
    <i>
      <x v="3"/>
    </i>
  </rowItems>
  <colFields count="1">
    <field x="2"/>
  </colFields>
  <colItems count="7">
    <i>
      <x/>
    </i>
    <i>
      <x v="1"/>
    </i>
    <i>
      <x v="2"/>
    </i>
    <i>
      <x v="3"/>
    </i>
    <i>
      <x v="4"/>
    </i>
    <i>
      <x v="5"/>
    </i>
    <i>
      <x v="6"/>
    </i>
  </colItems>
  <dataFields count="1">
    <dataField name="Sum of Total sales" fld="6" baseField="0" baseItem="0" numFmtId="165"/>
  </dataFields>
  <chartFormats count="16">
    <chartFormat chart="2" format="14" series="1">
      <pivotArea type="data" outline="0" fieldPosition="0">
        <references count="2">
          <reference field="4294967294" count="1" selected="0">
            <x v="0"/>
          </reference>
          <reference field="2" count="1" selected="0">
            <x v="0"/>
          </reference>
        </references>
      </pivotArea>
    </chartFormat>
    <chartFormat chart="2" format="15" series="1">
      <pivotArea type="data" outline="0" fieldPosition="0">
        <references count="2">
          <reference field="4294967294" count="1" selected="0">
            <x v="0"/>
          </reference>
          <reference field="2" count="1" selected="0">
            <x v="1"/>
          </reference>
        </references>
      </pivotArea>
    </chartFormat>
    <chartFormat chart="2" format="16" series="1">
      <pivotArea type="data" outline="0" fieldPosition="0">
        <references count="2">
          <reference field="4294967294" count="1" selected="0">
            <x v="0"/>
          </reference>
          <reference field="2" count="1" selected="0">
            <x v="2"/>
          </reference>
        </references>
      </pivotArea>
    </chartFormat>
    <chartFormat chart="2" format="17" series="1">
      <pivotArea type="data" outline="0" fieldPosition="0">
        <references count="2">
          <reference field="4294967294" count="1" selected="0">
            <x v="0"/>
          </reference>
          <reference field="2" count="1" selected="0">
            <x v="3"/>
          </reference>
        </references>
      </pivotArea>
    </chartFormat>
    <chartFormat chart="2" format="18" series="1">
      <pivotArea type="data" outline="0" fieldPosition="0">
        <references count="2">
          <reference field="4294967294" count="1" selected="0">
            <x v="0"/>
          </reference>
          <reference field="2" count="1" selected="0">
            <x v="4"/>
          </reference>
        </references>
      </pivotArea>
    </chartFormat>
    <chartFormat chart="2" format="19" series="1">
      <pivotArea type="data" outline="0" fieldPosition="0">
        <references count="2">
          <reference field="4294967294" count="1" selected="0">
            <x v="0"/>
          </reference>
          <reference field="2" count="1" selected="0">
            <x v="5"/>
          </reference>
        </references>
      </pivotArea>
    </chartFormat>
    <chartFormat chart="2" format="20" series="1">
      <pivotArea type="data" outline="0" fieldPosition="0">
        <references count="2">
          <reference field="4294967294" count="1" selected="0">
            <x v="0"/>
          </reference>
          <reference field="2" count="1" selected="0">
            <x v="6"/>
          </reference>
        </references>
      </pivotArea>
    </chartFormat>
    <chartFormat chart="3" format="14" series="1">
      <pivotArea type="data" outline="0" fieldPosition="0">
        <references count="2">
          <reference field="4294967294" count="1" selected="0">
            <x v="0"/>
          </reference>
          <reference field="2" count="1" selected="0">
            <x v="0"/>
          </reference>
        </references>
      </pivotArea>
    </chartFormat>
    <chartFormat chart="3" format="15" series="1">
      <pivotArea type="data" outline="0" fieldPosition="0">
        <references count="2">
          <reference field="4294967294" count="1" selected="0">
            <x v="0"/>
          </reference>
          <reference field="2" count="1" selected="0">
            <x v="1"/>
          </reference>
        </references>
      </pivotArea>
    </chartFormat>
    <chartFormat chart="3" format="16" series="1">
      <pivotArea type="data" outline="0" fieldPosition="0">
        <references count="2">
          <reference field="4294967294" count="1" selected="0">
            <x v="0"/>
          </reference>
          <reference field="2" count="1" selected="0">
            <x v="2"/>
          </reference>
        </references>
      </pivotArea>
    </chartFormat>
    <chartFormat chart="3" format="17" series="1">
      <pivotArea type="data" outline="0" fieldPosition="0">
        <references count="2">
          <reference field="4294967294" count="1" selected="0">
            <x v="0"/>
          </reference>
          <reference field="2" count="1" selected="0">
            <x v="3"/>
          </reference>
        </references>
      </pivotArea>
    </chartFormat>
    <chartFormat chart="3" format="18" series="1">
      <pivotArea type="data" outline="0" fieldPosition="0">
        <references count="2">
          <reference field="4294967294" count="1" selected="0">
            <x v="0"/>
          </reference>
          <reference field="2" count="1" selected="0">
            <x v="4"/>
          </reference>
        </references>
      </pivotArea>
    </chartFormat>
    <chartFormat chart="3" format="19" series="1">
      <pivotArea type="data" outline="0" fieldPosition="0">
        <references count="2">
          <reference field="4294967294" count="1" selected="0">
            <x v="0"/>
          </reference>
          <reference field="2" count="1" selected="0">
            <x v="5"/>
          </reference>
        </references>
      </pivotArea>
    </chartFormat>
    <chartFormat chart="3" format="20" series="1">
      <pivotArea type="data" outline="0" fieldPosition="0">
        <references count="2">
          <reference field="4294967294" count="1" selected="0">
            <x v="0"/>
          </reference>
          <reference field="2" count="1" selected="0">
            <x v="6"/>
          </reference>
        </references>
      </pivotArea>
    </chartFormat>
    <chartFormat chart="2" format="21" series="1">
      <pivotArea type="data" outline="0" fieldPosition="0">
        <references count="1">
          <reference field="4294967294" count="1" selected="0">
            <x v="0"/>
          </reference>
        </references>
      </pivotArea>
    </chartFormat>
    <chartFormat chart="3" format="21"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26.xml><?xml version="1.0" encoding="utf-8"?>
<pivotTableDefinition xmlns="http://schemas.openxmlformats.org/spreadsheetml/2006/main" name="PivotTable2" cacheId="0" applyNumberFormats="0" applyBorderFormats="0" applyFontFormats="0" applyPatternFormats="0" applyAlignmentFormats="0" applyWidthHeightFormats="1" dataCaption="Values" updatedVersion="5" minRefreshableVersion="3" useAutoFormatting="1" rowGrandTotals="0" itemPrintTitles="1" createdVersion="5" indent="0" outline="1" outlineData="1" multipleFieldFilters="0" chartFormat="16" rowHeaderCaption="Regon">
  <location ref="D3:E7" firstHeaderRow="1" firstDataRow="1" firstDataCol="1"/>
  <pivotFields count="10">
    <pivotField numFmtId="164" showAll="0">
      <items count="15">
        <item x="0"/>
        <item x="1"/>
        <item x="2"/>
        <item x="3"/>
        <item x="4"/>
        <item x="5"/>
        <item x="6"/>
        <item x="7"/>
        <item x="8"/>
        <item x="9"/>
        <item x="10"/>
        <item x="11"/>
        <item x="12"/>
        <item x="13"/>
        <item t="default"/>
      </items>
    </pivotField>
    <pivotField axis="axisRow" showAll="0">
      <items count="5">
        <item x="3"/>
        <item x="2"/>
        <item x="1"/>
        <item x="0"/>
        <item t="default"/>
      </items>
    </pivotField>
    <pivotField showAll="0">
      <items count="8">
        <item x="1"/>
        <item x="2"/>
        <item x="3"/>
        <item x="4"/>
        <item x="5"/>
        <item x="6"/>
        <item x="0"/>
        <item t="default"/>
      </items>
    </pivotField>
    <pivotField showAll="0">
      <items count="8">
        <item x="1"/>
        <item x="2"/>
        <item x="3"/>
        <item x="4"/>
        <item x="0"/>
        <item m="1" x="6"/>
        <item x="5"/>
        <item t="default"/>
      </items>
    </pivotField>
    <pivotField showAll="0"/>
    <pivotField numFmtId="165" showAll="0"/>
    <pivotField dataField="1" numFmtId="165" showAll="0"/>
    <pivotField showAll="0"/>
    <pivotField showAll="0"/>
    <pivotField showAll="0" defaultSubtotal="0">
      <items count="6">
        <item x="0"/>
        <item x="1"/>
        <item x="2"/>
        <item x="3"/>
        <item x="4"/>
        <item x="5"/>
      </items>
    </pivotField>
  </pivotFields>
  <rowFields count="1">
    <field x="1"/>
  </rowFields>
  <rowItems count="4">
    <i>
      <x/>
    </i>
    <i>
      <x v="1"/>
    </i>
    <i>
      <x v="2"/>
    </i>
    <i>
      <x v="3"/>
    </i>
  </rowItems>
  <colItems count="1">
    <i/>
  </colItems>
  <dataFields count="1">
    <dataField name="Sum of Total sales" fld="6" baseField="0" baseItem="0" numFmtId="165"/>
  </dataFields>
  <chartFormats count="11">
    <chartFormat chart="0" format="0" series="1">
      <pivotArea type="data" outline="0" fieldPosition="0">
        <references count="1">
          <reference field="4294967294" count="1" selected="0">
            <x v="0"/>
          </reference>
        </references>
      </pivotArea>
    </chartFormat>
    <chartFormat chart="2" format="6" series="1">
      <pivotArea type="data" outline="0" fieldPosition="0">
        <references count="1">
          <reference field="4294967294" count="1" selected="0">
            <x v="0"/>
          </reference>
        </references>
      </pivotArea>
    </chartFormat>
    <chartFormat chart="2" format="7">
      <pivotArea type="data" outline="0" fieldPosition="0">
        <references count="2">
          <reference field="4294967294" count="1" selected="0">
            <x v="0"/>
          </reference>
          <reference field="1" count="1" selected="0">
            <x v="0"/>
          </reference>
        </references>
      </pivotArea>
    </chartFormat>
    <chartFormat chart="2" format="8">
      <pivotArea type="data" outline="0" fieldPosition="0">
        <references count="2">
          <reference field="4294967294" count="1" selected="0">
            <x v="0"/>
          </reference>
          <reference field="1" count="1" selected="0">
            <x v="1"/>
          </reference>
        </references>
      </pivotArea>
    </chartFormat>
    <chartFormat chart="2" format="9">
      <pivotArea type="data" outline="0" fieldPosition="0">
        <references count="2">
          <reference field="4294967294" count="1" selected="0">
            <x v="0"/>
          </reference>
          <reference field="1" count="1" selected="0">
            <x v="2"/>
          </reference>
        </references>
      </pivotArea>
    </chartFormat>
    <chartFormat chart="2" format="10">
      <pivotArea type="data" outline="0" fieldPosition="0">
        <references count="2">
          <reference field="4294967294" count="1" selected="0">
            <x v="0"/>
          </reference>
          <reference field="1" count="1" selected="0">
            <x v="3"/>
          </reference>
        </references>
      </pivotArea>
    </chartFormat>
    <chartFormat chart="9" format="11" series="1">
      <pivotArea type="data" outline="0" fieldPosition="0">
        <references count="1">
          <reference field="4294967294" count="1" selected="0">
            <x v="0"/>
          </reference>
        </references>
      </pivotArea>
    </chartFormat>
    <chartFormat chart="9" format="12">
      <pivotArea type="data" outline="0" fieldPosition="0">
        <references count="2">
          <reference field="4294967294" count="1" selected="0">
            <x v="0"/>
          </reference>
          <reference field="1" count="1" selected="0">
            <x v="0"/>
          </reference>
        </references>
      </pivotArea>
    </chartFormat>
    <chartFormat chart="9" format="13">
      <pivotArea type="data" outline="0" fieldPosition="0">
        <references count="2">
          <reference field="4294967294" count="1" selected="0">
            <x v="0"/>
          </reference>
          <reference field="1" count="1" selected="0">
            <x v="1"/>
          </reference>
        </references>
      </pivotArea>
    </chartFormat>
    <chartFormat chart="9" format="14">
      <pivotArea type="data" outline="0" fieldPosition="0">
        <references count="2">
          <reference field="4294967294" count="1" selected="0">
            <x v="0"/>
          </reference>
          <reference field="1" count="1" selected="0">
            <x v="2"/>
          </reference>
        </references>
      </pivotArea>
    </chartFormat>
    <chartFormat chart="9" format="15">
      <pivotArea type="data" outline="0" fieldPosition="0">
        <references count="2">
          <reference field="4294967294" count="1" selected="0">
            <x v="0"/>
          </reference>
          <reference field="1"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27.xml><?xml version="1.0" encoding="utf-8"?>
<pivotTableDefinition xmlns="http://schemas.openxmlformats.org/spreadsheetml/2006/main" name="PivotTable4" cacheId="0" applyNumberFormats="0" applyBorderFormats="0" applyFontFormats="0" applyPatternFormats="0" applyAlignmentFormats="0" applyWidthHeightFormats="1" dataCaption="Values" updatedVersion="5" minRefreshableVersion="3" useAutoFormatting="1" rowGrandTotals="0" itemPrintTitles="1" createdVersion="5" indent="0" outline="1" outlineData="1" multipleFieldFilters="0" rowHeaderCaption="Product">
  <location ref="J3:K10" firstHeaderRow="1" firstDataRow="1" firstDataCol="1"/>
  <pivotFields count="10">
    <pivotField numFmtId="164" showAll="0">
      <items count="15">
        <item x="0"/>
        <item x="1"/>
        <item x="2"/>
        <item x="3"/>
        <item x="4"/>
        <item x="5"/>
        <item x="6"/>
        <item x="7"/>
        <item x="8"/>
        <item x="9"/>
        <item x="10"/>
        <item x="11"/>
        <item x="12"/>
        <item x="13"/>
        <item t="default"/>
      </items>
    </pivotField>
    <pivotField showAll="0">
      <items count="5">
        <item x="3"/>
        <item x="2"/>
        <item x="1"/>
        <item x="0"/>
        <item t="default"/>
      </items>
    </pivotField>
    <pivotField axis="axisRow" showAll="0" sortType="descending">
      <items count="8">
        <item x="1"/>
        <item x="2"/>
        <item x="3"/>
        <item x="4"/>
        <item x="5"/>
        <item x="6"/>
        <item x="0"/>
        <item t="default"/>
      </items>
      <autoSortScope>
        <pivotArea dataOnly="0" outline="0" fieldPosition="0">
          <references count="1">
            <reference field="4294967294" count="1" selected="0">
              <x v="0"/>
            </reference>
          </references>
        </pivotArea>
      </autoSortScope>
    </pivotField>
    <pivotField showAll="0">
      <items count="8">
        <item x="1"/>
        <item x="2"/>
        <item x="3"/>
        <item x="4"/>
        <item x="0"/>
        <item m="1" x="6"/>
        <item x="5"/>
        <item t="default"/>
      </items>
    </pivotField>
    <pivotField showAll="0"/>
    <pivotField numFmtId="165" showAll="0"/>
    <pivotField dataField="1" numFmtId="165" showAll="0"/>
    <pivotField showAll="0"/>
    <pivotField showAll="0"/>
    <pivotField showAll="0" defaultSubtotal="0">
      <items count="6">
        <item x="0"/>
        <item x="1"/>
        <item x="2"/>
        <item x="3"/>
        <item x="4"/>
        <item x="5"/>
      </items>
    </pivotField>
  </pivotFields>
  <rowFields count="1">
    <field x="2"/>
  </rowFields>
  <rowItems count="7">
    <i>
      <x v="3"/>
    </i>
    <i>
      <x v="4"/>
    </i>
    <i>
      <x v="1"/>
    </i>
    <i>
      <x v="5"/>
    </i>
    <i>
      <x/>
    </i>
    <i>
      <x v="6"/>
    </i>
    <i>
      <x v="2"/>
    </i>
  </rowItems>
  <colItems count="1">
    <i/>
  </colItems>
  <dataFields count="1">
    <dataField name="Sum of Total sales" fld="6" baseField="0" baseItem="0" numFmtId="165"/>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mc:Ignorable="x" name="Slicer_Region" sourceName="Region">
  <pivotTables>
    <pivotTable tabId="6" name="PivotTable10"/>
    <pivotTable tabId="6" name="PivotTable11"/>
    <pivotTable tabId="6" name="PivotTable12"/>
    <pivotTable tabId="6" name="PivotTable13"/>
    <pivotTable tabId="6" name="PivotTable14"/>
    <pivotTable tabId="6" name="PivotTable16"/>
    <pivotTable tabId="6" name="PivotTable18"/>
    <pivotTable tabId="6" name="PivotTable2"/>
    <pivotTable tabId="6" name="PivotTable3"/>
    <pivotTable tabId="6" name="PivotTable4"/>
    <pivotTable tabId="6" name="PivotTable5"/>
    <pivotTable tabId="6" name="PivotTable7"/>
    <pivotTable tabId="5" name="PivotTable1"/>
    <pivotTable tabId="5" name="PivotTable11"/>
    <pivotTable tabId="5" name="PivotTable12"/>
    <pivotTable tabId="5" name="PivotTable15"/>
    <pivotTable tabId="5" name="PivotTable17"/>
    <pivotTable tabId="5" name="PivotTable19"/>
    <pivotTable tabId="5" name="PivotTable2"/>
    <pivotTable tabId="5" name="PivotTable21"/>
    <pivotTable tabId="5" name="PivotTable22"/>
    <pivotTable tabId="5" name="PivotTable3"/>
    <pivotTable tabId="5" name="PivotTable4"/>
    <pivotTable tabId="5" name="PivotTable5"/>
    <pivotTable tabId="5" name="PivotTable6"/>
    <pivotTable tabId="5" name="PivotTable7"/>
    <pivotTable tabId="5" name="PivotTable8"/>
  </pivotTables>
  <data>
    <tabular pivotCacheId="1">
      <items count="4">
        <i x="3" s="1"/>
        <i x="2" s="1"/>
        <i x="1" s="1"/>
        <i x="0"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mc:Ignorable="x" name="Slicer_Product" sourceName="Product">
  <pivotTables>
    <pivotTable tabId="6" name="PivotTable10"/>
    <pivotTable tabId="6" name="PivotTable11"/>
    <pivotTable tabId="6" name="PivotTable12"/>
    <pivotTable tabId="6" name="PivotTable13"/>
    <pivotTable tabId="6" name="PivotTable14"/>
    <pivotTable tabId="6" name="PivotTable16"/>
    <pivotTable tabId="6" name="PivotTable18"/>
    <pivotTable tabId="6" name="PivotTable2"/>
    <pivotTable tabId="6" name="PivotTable3"/>
    <pivotTable tabId="6" name="PivotTable4"/>
    <pivotTable tabId="6" name="PivotTable5"/>
    <pivotTable tabId="6" name="PivotTable7"/>
    <pivotTable tabId="5" name="PivotTable11"/>
    <pivotTable tabId="5" name="PivotTable12"/>
    <pivotTable tabId="5" name="PivotTable2"/>
    <pivotTable tabId="5" name="PivotTable3"/>
    <pivotTable tabId="5" name="PivotTable4"/>
    <pivotTable tabId="5" name="PivotTable5"/>
    <pivotTable tabId="5" name="PivotTable7"/>
    <pivotTable tabId="5" name="PivotTable1"/>
    <pivotTable tabId="5" name="PivotTable15"/>
    <pivotTable tabId="5" name="PivotTable17"/>
    <pivotTable tabId="5" name="PivotTable19"/>
    <pivotTable tabId="5" name="PivotTable21"/>
    <pivotTable tabId="5" name="PivotTable22"/>
    <pivotTable tabId="5" name="PivotTable6"/>
    <pivotTable tabId="5" name="PivotTable8"/>
  </pivotTables>
  <data>
    <tabular pivotCacheId="1">
      <items count="7">
        <i x="1" s="1"/>
        <i x="2" s="1"/>
        <i x="3" s="1"/>
        <i x="4" s="1"/>
        <i x="5" s="1"/>
        <i x="6" s="1"/>
        <i x="0"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mc:Ignorable="x" name="Slicer_Category" sourceName="Category">
  <pivotTables>
    <pivotTable tabId="6" name="PivotTable10"/>
    <pivotTable tabId="6" name="PivotTable11"/>
    <pivotTable tabId="6" name="PivotTable12"/>
    <pivotTable tabId="6" name="PivotTable13"/>
    <pivotTable tabId="6" name="PivotTable14"/>
    <pivotTable tabId="6" name="PivotTable16"/>
    <pivotTable tabId="6" name="PivotTable18"/>
    <pivotTable tabId="6" name="PivotTable2"/>
    <pivotTable tabId="6" name="PivotTable3"/>
    <pivotTable tabId="6" name="PivotTable4"/>
    <pivotTable tabId="6" name="PivotTable5"/>
    <pivotTable tabId="6" name="PivotTable7"/>
    <pivotTable tabId="5" name="PivotTable1"/>
    <pivotTable tabId="5" name="PivotTable11"/>
    <pivotTable tabId="5" name="PivotTable12"/>
    <pivotTable tabId="5" name="PivotTable15"/>
    <pivotTable tabId="5" name="PivotTable17"/>
    <pivotTable tabId="5" name="PivotTable19"/>
    <pivotTable tabId="5" name="PivotTable2"/>
    <pivotTable tabId="5" name="PivotTable21"/>
    <pivotTable tabId="5" name="PivotTable22"/>
    <pivotTable tabId="5" name="PivotTable3"/>
    <pivotTable tabId="5" name="PivotTable4"/>
    <pivotTable tabId="5" name="PivotTable5"/>
    <pivotTable tabId="5" name="PivotTable6"/>
    <pivotTable tabId="5" name="PivotTable7"/>
    <pivotTable tabId="5" name="PivotTable8"/>
  </pivotTables>
  <data>
    <tabular pivotCacheId="1">
      <items count="7">
        <i x="1" s="1"/>
        <i x="2" s="1"/>
        <i x="3" s="1"/>
        <i x="4" s="1"/>
        <i x="0" s="1"/>
        <i x="5" s="1"/>
        <i x="6" s="1" nd="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mc:Ignorable="x" name="Slicer_Total_sales" sourceName="Total sales">
  <data>
    <tabular pivotCacheId="1">
      <items count="77">
        <i x="75" s="1"/>
        <i x="71" s="1"/>
        <i x="68" s="1"/>
        <i x="12" s="1"/>
        <i x="20" s="1"/>
        <i x="55" s="1"/>
        <i x="69" s="1"/>
        <i x="61" s="1"/>
        <i x="15" s="1"/>
        <i x="57" s="1"/>
        <i x="41" s="1"/>
        <i x="14" s="1"/>
        <i x="2" s="1"/>
        <i x="44" s="1"/>
        <i x="7" s="1"/>
        <i x="11" s="1"/>
        <i x="37" s="1"/>
        <i x="66" s="1"/>
        <i x="0" s="1"/>
        <i x="73" s="1"/>
        <i x="19" s="1"/>
        <i x="67" s="1"/>
        <i x="26" s="1"/>
        <i x="76" s="1"/>
        <i x="62" s="1"/>
        <i x="33" s="1"/>
        <i x="8" s="1"/>
        <i x="28" s="1"/>
        <i x="60" s="1"/>
        <i x="38" s="1"/>
        <i x="4" s="1"/>
        <i x="1" s="1"/>
        <i x="27" s="1"/>
        <i x="10" s="1"/>
        <i x="40" s="1"/>
        <i x="9" s="1"/>
        <i x="54" s="1"/>
        <i x="46" s="1"/>
        <i x="65" s="1"/>
        <i x="30" s="1"/>
        <i x="49" s="1"/>
        <i x="5" s="1"/>
        <i x="53" s="1"/>
        <i x="13" s="1"/>
        <i x="35" s="1"/>
        <i x="43" s="1"/>
        <i x="29" s="1"/>
        <i x="63" s="1"/>
        <i x="48" s="1"/>
        <i x="36" s="1"/>
        <i x="70" s="1"/>
        <i x="34" s="1"/>
        <i x="32" s="1"/>
        <i x="31" s="1"/>
        <i x="47" s="1"/>
        <i x="50" s="1"/>
        <i x="51" s="1"/>
        <i x="72" s="1"/>
        <i x="6" s="1"/>
        <i x="45" s="1"/>
        <i x="16" s="1"/>
        <i x="56" s="1"/>
        <i x="21" s="1"/>
        <i x="22" s="1"/>
        <i x="17" s="1"/>
        <i x="39" s="1"/>
        <i x="25" s="1"/>
        <i x="3" s="1"/>
        <i x="24" s="1"/>
        <i x="18" s="1"/>
        <i x="23" s="1"/>
        <i x="52" s="1"/>
        <i x="59" s="1"/>
        <i x="64" s="1"/>
        <i x="58" s="1"/>
        <i x="74" s="1"/>
        <i x="42"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mc:Ignorable="x">
  <slicer name="Region 3" cache="Slicer_Region" caption="Region" columnCount="2" rowHeight="241300"/>
  <slicer name="Product 2" cache="Slicer_Product" caption="Product" columnCount="2" rowHeight="274320"/>
  <slicer name="Category 2" cache="Slicer_Category" caption="Category" columnCount="2" rowHeight="274320"/>
</slicers>
</file>

<file path=xl/slicers/slicer2.xml><?xml version="1.0" encoding="utf-8"?>
<slicers xmlns="http://schemas.microsoft.com/office/spreadsheetml/2009/9/main" xmlns:mc="http://schemas.openxmlformats.org/markup-compatibility/2006" xmlns:x="http://schemas.openxmlformats.org/spreadsheetml/2006/main" mc:Ignorable="x">
  <slicer name="Region 1" cache="Slicer_Region" caption="Region" rowHeight="241300"/>
  <slicer name="Product 1" cache="Slicer_Product" caption="Product" rowHeight="241300"/>
  <slicer name="Category 1" cache="Slicer_Category" caption="Category" rowHeight="241300"/>
  <slicer name="Total sales 1" cache="Slicer_Total_sales" caption="Total sales" rowHeight="241300"/>
</slicers>
</file>

<file path=xl/tables/table1.xml><?xml version="1.0" encoding="utf-8"?>
<table xmlns="http://schemas.openxmlformats.org/spreadsheetml/2006/main" id="1" name="Table1" displayName="Table1" ref="A1:I101" totalsRowShown="0" headerRowDxfId="12" headerRowBorderDxfId="11" tableBorderDxfId="10" totalsRowBorderDxfId="9">
  <tableColumns count="9">
    <tableColumn id="1" name="Date" dataDxfId="8"/>
    <tableColumn id="2" name="Region" dataDxfId="7"/>
    <tableColumn id="3" name="Product" dataDxfId="6"/>
    <tableColumn id="4" name="Category" dataDxfId="5"/>
    <tableColumn id="5" name="Units Sold" dataDxfId="4"/>
    <tableColumn id="6" name="Unit Price" dataDxfId="3"/>
    <tableColumn id="7" name="Total sales" dataDxfId="2">
      <calculatedColumnFormula>E2 *F2</calculatedColumnFormula>
    </tableColumn>
    <tableColumn id="8" name="Sales Rep" dataDxfId="1"/>
    <tableColumn id="9" name="Customer" dataDxfId="0"/>
  </tableColumns>
  <tableStyleInfo name="TableStyleMedium10"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8" Type="http://schemas.openxmlformats.org/officeDocument/2006/relationships/pivotTable" Target="../pivotTables/pivotTable8.xml"/><Relationship Id="rId13" Type="http://schemas.openxmlformats.org/officeDocument/2006/relationships/pivotTable" Target="../pivotTables/pivotTable13.xml"/><Relationship Id="rId18" Type="http://schemas.microsoft.com/office/2007/relationships/slicer" Target="../slicers/slicer2.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openxmlformats.org/officeDocument/2006/relationships/pivotTable" Target="../pivotTables/pivotTable12.xml"/><Relationship Id="rId17" Type="http://schemas.openxmlformats.org/officeDocument/2006/relationships/drawing" Target="../drawings/drawing3.xml"/><Relationship Id="rId2" Type="http://schemas.openxmlformats.org/officeDocument/2006/relationships/pivotTable" Target="../pivotTables/pivotTable2.xml"/><Relationship Id="rId16" Type="http://schemas.openxmlformats.org/officeDocument/2006/relationships/printerSettings" Target="../printerSettings/printerSettings2.bin"/><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5" Type="http://schemas.openxmlformats.org/officeDocument/2006/relationships/pivotTable" Target="../pivotTables/pivotTable1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 Id="rId14" Type="http://schemas.openxmlformats.org/officeDocument/2006/relationships/pivotTable" Target="../pivotTables/pivotTable14.xml"/></Relationships>
</file>

<file path=xl/worksheets/_rels/sheet3.xml.rels><?xml version="1.0" encoding="UTF-8" standalone="yes"?>
<Relationships xmlns="http://schemas.openxmlformats.org/package/2006/relationships"><Relationship Id="rId8" Type="http://schemas.openxmlformats.org/officeDocument/2006/relationships/pivotTable" Target="../pivotTables/pivotTable23.xml"/><Relationship Id="rId13" Type="http://schemas.openxmlformats.org/officeDocument/2006/relationships/printerSettings" Target="../printerSettings/printerSettings3.bin"/><Relationship Id="rId3" Type="http://schemas.openxmlformats.org/officeDocument/2006/relationships/pivotTable" Target="../pivotTables/pivotTable18.xml"/><Relationship Id="rId7" Type="http://schemas.openxmlformats.org/officeDocument/2006/relationships/pivotTable" Target="../pivotTables/pivotTable22.xml"/><Relationship Id="rId12" Type="http://schemas.openxmlformats.org/officeDocument/2006/relationships/pivotTable" Target="../pivotTables/pivotTable27.xml"/><Relationship Id="rId2" Type="http://schemas.openxmlformats.org/officeDocument/2006/relationships/pivotTable" Target="../pivotTables/pivotTable17.xml"/><Relationship Id="rId1" Type="http://schemas.openxmlformats.org/officeDocument/2006/relationships/pivotTable" Target="../pivotTables/pivotTable16.xml"/><Relationship Id="rId6" Type="http://schemas.openxmlformats.org/officeDocument/2006/relationships/pivotTable" Target="../pivotTables/pivotTable21.xml"/><Relationship Id="rId11" Type="http://schemas.openxmlformats.org/officeDocument/2006/relationships/pivotTable" Target="../pivotTables/pivotTable26.xml"/><Relationship Id="rId5" Type="http://schemas.openxmlformats.org/officeDocument/2006/relationships/pivotTable" Target="../pivotTables/pivotTable20.xml"/><Relationship Id="rId10" Type="http://schemas.openxmlformats.org/officeDocument/2006/relationships/pivotTable" Target="../pivotTables/pivotTable25.xml"/><Relationship Id="rId4" Type="http://schemas.openxmlformats.org/officeDocument/2006/relationships/pivotTable" Target="../pivotTables/pivotTable19.xml"/><Relationship Id="rId9" Type="http://schemas.openxmlformats.org/officeDocument/2006/relationships/pivotTable" Target="../pivotTables/pivotTable24.xml"/></Relationships>
</file>

<file path=xl/worksheets/_rels/sheet4.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4.bin"/></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C2:U12"/>
  <sheetViews>
    <sheetView showGridLines="0" showRowColHeaders="0" topLeftCell="A2" workbookViewId="0">
      <selection activeCell="S7" sqref="S7"/>
    </sheetView>
  </sheetViews>
  <sheetFormatPr defaultRowHeight="15" x14ac:dyDescent="0.25"/>
  <cols>
    <col min="6" max="6" width="20.7109375" bestFit="1" customWidth="1"/>
    <col min="11" max="11" width="15.85546875" bestFit="1" customWidth="1"/>
    <col min="12" max="12" width="14" bestFit="1" customWidth="1"/>
    <col min="16" max="16" width="10.28515625" bestFit="1" customWidth="1"/>
    <col min="21" max="21" width="14" bestFit="1" customWidth="1"/>
  </cols>
  <sheetData>
    <row r="2" spans="3:21" x14ac:dyDescent="0.25">
      <c r="C2" s="26"/>
    </row>
    <row r="3" spans="3:21" x14ac:dyDescent="0.25">
      <c r="C3" s="26"/>
    </row>
    <row r="4" spans="3:21" x14ac:dyDescent="0.25">
      <c r="S4" s="28"/>
    </row>
    <row r="5" spans="3:21" x14ac:dyDescent="0.25">
      <c r="S5" s="28"/>
    </row>
    <row r="6" spans="3:21" ht="15.75" x14ac:dyDescent="0.25">
      <c r="E6" s="28"/>
      <c r="F6" s="34" t="s">
        <v>509</v>
      </c>
      <c r="G6" s="28"/>
      <c r="H6" s="28"/>
      <c r="K6" s="34" t="s">
        <v>510</v>
      </c>
      <c r="L6" s="28"/>
      <c r="P6" s="30" t="s">
        <v>511</v>
      </c>
      <c r="S6" s="28"/>
    </row>
    <row r="7" spans="3:21" ht="19.5" x14ac:dyDescent="0.3">
      <c r="E7" s="28"/>
      <c r="F7" s="35">
        <f>GETPIVOTDATA("Total sales",'Pivot table'!$G$3)</f>
        <v>323734631</v>
      </c>
      <c r="G7" s="28"/>
      <c r="H7" s="29"/>
      <c r="K7" s="32">
        <f>GETPIVOTDATA("Unit Price",Sheet1!$M$20)</f>
        <v>250542.33</v>
      </c>
      <c r="P7" s="33">
        <f>GETPIVOTDATA("Units Sold",Sheet1!$M$27)</f>
        <v>1141</v>
      </c>
      <c r="S7" s="28"/>
      <c r="T7" s="26"/>
    </row>
    <row r="8" spans="3:21" x14ac:dyDescent="0.25">
      <c r="E8" s="28"/>
      <c r="F8" s="28"/>
      <c r="G8" s="28"/>
      <c r="S8" s="28"/>
    </row>
    <row r="10" spans="3:21" ht="19.5" x14ac:dyDescent="0.3">
      <c r="U10" s="31"/>
    </row>
    <row r="12" spans="3:21" x14ac:dyDescent="0.25">
      <c r="T12" s="27"/>
    </row>
  </sheetData>
  <pageMargins left="0.7" right="0.7" top="0.75" bottom="0.75" header="0.3" footer="0.3"/>
  <pageSetup orientation="portrait" r:id="rId1"/>
  <drawing r:id="rId2"/>
  <extLst>
    <ext xmlns:x14="http://schemas.microsoft.com/office/spreadsheetml/2009/9/main" uri="{A8765BA9-456A-4dab-B4F3-ACF838C121DE}">
      <x14:slicerList>
        <x14:slicer r:id="rId3"/>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S86"/>
  <sheetViews>
    <sheetView topLeftCell="C14" zoomScale="64" zoomScaleNormal="64" workbookViewId="0">
      <selection activeCell="M28" sqref="M28"/>
    </sheetView>
  </sheetViews>
  <sheetFormatPr defaultRowHeight="15" x14ac:dyDescent="0.25"/>
  <cols>
    <col min="1" max="1" width="18.42578125" customWidth="1"/>
    <col min="2" max="2" width="22.28515625" customWidth="1"/>
    <col min="4" max="4" width="12.85546875" customWidth="1"/>
    <col min="5" max="5" width="23.85546875" customWidth="1"/>
    <col min="6" max="6" width="10.85546875" customWidth="1"/>
    <col min="7" max="7" width="14.7109375" customWidth="1"/>
    <col min="8" max="8" width="22.7109375" customWidth="1"/>
    <col min="9" max="9" width="22.28515625" customWidth="1"/>
    <col min="10" max="10" width="23.85546875" customWidth="1"/>
    <col min="11" max="11" width="22.42578125" customWidth="1"/>
    <col min="12" max="12" width="14.42578125" customWidth="1"/>
    <col min="13" max="13" width="16.85546875" customWidth="1"/>
    <col min="14" max="14" width="13.7109375" customWidth="1"/>
    <col min="15" max="15" width="15.7109375" customWidth="1"/>
    <col min="16" max="16" width="12.7109375" customWidth="1"/>
    <col min="17" max="17" width="19.5703125" customWidth="1"/>
    <col min="18" max="18" width="22.28515625" customWidth="1"/>
    <col min="19" max="19" width="22.7109375" customWidth="1"/>
    <col min="20" max="20" width="22.28515625" customWidth="1"/>
    <col min="21" max="21" width="17.28515625" customWidth="1"/>
    <col min="22" max="22" width="16.28515625" customWidth="1"/>
    <col min="23" max="23" width="18.28515625" customWidth="1"/>
    <col min="24" max="24" width="14.140625" customWidth="1"/>
    <col min="25" max="25" width="13.7109375" bestFit="1" customWidth="1"/>
    <col min="26" max="26" width="12.7109375" bestFit="1" customWidth="1"/>
    <col min="27" max="27" width="20.28515625" bestFit="1" customWidth="1"/>
    <col min="28" max="28" width="22.7109375" bestFit="1" customWidth="1"/>
    <col min="29" max="29" width="15.28515625" bestFit="1" customWidth="1"/>
    <col min="30" max="30" width="19.5703125" bestFit="1" customWidth="1"/>
    <col min="31" max="31" width="17.28515625" bestFit="1" customWidth="1"/>
    <col min="32" max="32" width="16.28515625" bestFit="1" customWidth="1"/>
    <col min="33" max="33" width="18.28515625" bestFit="1" customWidth="1"/>
    <col min="34" max="34" width="14.140625" bestFit="1" customWidth="1"/>
    <col min="35" max="35" width="13.7109375" bestFit="1" customWidth="1"/>
    <col min="36" max="36" width="12.7109375" bestFit="1" customWidth="1"/>
    <col min="37" max="37" width="20.28515625" bestFit="1" customWidth="1"/>
    <col min="38" max="38" width="22.28515625" bestFit="1" customWidth="1"/>
    <col min="39" max="39" width="15.28515625" bestFit="1" customWidth="1"/>
    <col min="40" max="40" width="19.5703125" bestFit="1" customWidth="1"/>
    <col min="41" max="41" width="17.28515625" bestFit="1" customWidth="1"/>
    <col min="42" max="42" width="16.28515625" bestFit="1" customWidth="1"/>
    <col min="43" max="43" width="18.28515625" bestFit="1" customWidth="1"/>
    <col min="44" max="44" width="14.140625" bestFit="1" customWidth="1"/>
    <col min="45" max="45" width="13.7109375" bestFit="1" customWidth="1"/>
    <col min="46" max="46" width="12.7109375" bestFit="1" customWidth="1"/>
    <col min="47" max="47" width="20.28515625" bestFit="1" customWidth="1"/>
    <col min="48" max="48" width="31" bestFit="1" customWidth="1"/>
    <col min="49" max="49" width="29.85546875" bestFit="1" customWidth="1"/>
    <col min="50" max="50" width="29.42578125" bestFit="1" customWidth="1"/>
  </cols>
  <sheetData>
    <row r="3" spans="1:17" x14ac:dyDescent="0.25">
      <c r="A3" s="20" t="s">
        <v>491</v>
      </c>
      <c r="B3" t="s">
        <v>500</v>
      </c>
      <c r="D3" s="20" t="s">
        <v>495</v>
      </c>
      <c r="E3" t="s">
        <v>493</v>
      </c>
      <c r="G3" s="20" t="s">
        <v>494</v>
      </c>
      <c r="H3" t="s">
        <v>493</v>
      </c>
      <c r="J3" s="20" t="s">
        <v>2</v>
      </c>
      <c r="K3" t="s">
        <v>493</v>
      </c>
    </row>
    <row r="4" spans="1:17" x14ac:dyDescent="0.25">
      <c r="A4" s="21" t="s">
        <v>485</v>
      </c>
      <c r="B4" s="22">
        <v>3735000</v>
      </c>
      <c r="D4" s="21" t="s">
        <v>99</v>
      </c>
      <c r="E4" s="9">
        <v>136005000</v>
      </c>
      <c r="G4" s="21" t="s">
        <v>226</v>
      </c>
      <c r="H4" s="9">
        <v>8954631</v>
      </c>
      <c r="J4" s="21" t="s">
        <v>473</v>
      </c>
      <c r="K4" s="9">
        <v>123599631</v>
      </c>
    </row>
    <row r="5" spans="1:17" x14ac:dyDescent="0.25">
      <c r="A5" s="21" t="s">
        <v>488</v>
      </c>
      <c r="B5" s="22">
        <v>3285000</v>
      </c>
      <c r="D5" s="21" t="s">
        <v>71</v>
      </c>
      <c r="E5" s="9">
        <v>82604631</v>
      </c>
      <c r="G5" s="21" t="s">
        <v>120</v>
      </c>
      <c r="H5" s="9">
        <v>155750000</v>
      </c>
      <c r="J5" s="21" t="s">
        <v>474</v>
      </c>
      <c r="K5" s="9">
        <v>47800000</v>
      </c>
    </row>
    <row r="6" spans="1:17" x14ac:dyDescent="0.25">
      <c r="A6" s="21" t="s">
        <v>486</v>
      </c>
      <c r="B6" s="22">
        <v>3005000</v>
      </c>
      <c r="D6" s="21" t="s">
        <v>8</v>
      </c>
      <c r="E6" s="9">
        <v>56695000</v>
      </c>
      <c r="G6" s="21" t="s">
        <v>165</v>
      </c>
      <c r="H6" s="9">
        <v>75250000</v>
      </c>
      <c r="J6" s="21" t="s">
        <v>119</v>
      </c>
      <c r="K6" s="9">
        <v>42870000</v>
      </c>
    </row>
    <row r="7" spans="1:17" x14ac:dyDescent="0.25">
      <c r="A7" s="21" t="s">
        <v>17</v>
      </c>
      <c r="B7" s="22">
        <v>2610000</v>
      </c>
      <c r="D7" s="21" t="s">
        <v>59</v>
      </c>
      <c r="E7" s="9">
        <v>48430000</v>
      </c>
      <c r="G7" s="21" t="s">
        <v>20</v>
      </c>
      <c r="H7" s="9">
        <v>46620000</v>
      </c>
      <c r="J7" s="21" t="s">
        <v>105</v>
      </c>
      <c r="K7" s="9">
        <v>34400000</v>
      </c>
    </row>
    <row r="8" spans="1:17" x14ac:dyDescent="0.25">
      <c r="A8" s="21" t="s">
        <v>260</v>
      </c>
      <c r="B8" s="22">
        <v>2225000</v>
      </c>
      <c r="G8" s="21" t="s">
        <v>478</v>
      </c>
      <c r="H8" s="9">
        <v>11610000</v>
      </c>
      <c r="J8" s="21" t="s">
        <v>475</v>
      </c>
      <c r="K8" s="9">
        <v>26940000</v>
      </c>
    </row>
    <row r="9" spans="1:17" x14ac:dyDescent="0.25">
      <c r="A9" s="21" t="s">
        <v>341</v>
      </c>
      <c r="B9" s="22">
        <v>2150000</v>
      </c>
      <c r="G9" s="21" t="s">
        <v>110</v>
      </c>
      <c r="H9" s="9">
        <v>25550000</v>
      </c>
      <c r="J9" s="21" t="s">
        <v>477</v>
      </c>
      <c r="K9" s="9">
        <v>26475000</v>
      </c>
    </row>
    <row r="10" spans="1:17" x14ac:dyDescent="0.25">
      <c r="A10" s="21" t="s">
        <v>75</v>
      </c>
      <c r="B10" s="22">
        <v>1515000</v>
      </c>
      <c r="J10" s="21" t="s">
        <v>476</v>
      </c>
      <c r="K10" s="9">
        <v>21650000</v>
      </c>
    </row>
    <row r="11" spans="1:17" x14ac:dyDescent="0.25">
      <c r="A11" s="21" t="s">
        <v>484</v>
      </c>
      <c r="B11" s="22">
        <v>1440000</v>
      </c>
    </row>
    <row r="12" spans="1:17" x14ac:dyDescent="0.25">
      <c r="A12" s="21" t="s">
        <v>63</v>
      </c>
      <c r="B12" s="22">
        <v>1350000</v>
      </c>
      <c r="D12" s="20" t="s">
        <v>2</v>
      </c>
      <c r="E12" t="s">
        <v>493</v>
      </c>
      <c r="G12" s="20" t="s">
        <v>0</v>
      </c>
      <c r="H12" t="s">
        <v>493</v>
      </c>
      <c r="J12" s="20" t="s">
        <v>493</v>
      </c>
      <c r="K12" s="20" t="s">
        <v>496</v>
      </c>
    </row>
    <row r="13" spans="1:17" x14ac:dyDescent="0.25">
      <c r="A13" s="21" t="s">
        <v>131</v>
      </c>
      <c r="B13" s="22">
        <v>1150000</v>
      </c>
      <c r="D13" s="21" t="s">
        <v>473</v>
      </c>
      <c r="E13" s="9">
        <v>123599631</v>
      </c>
      <c r="F13" s="21"/>
      <c r="G13" s="21" t="s">
        <v>501</v>
      </c>
      <c r="H13" s="9"/>
      <c r="J13" s="20" t="s">
        <v>1</v>
      </c>
      <c r="K13" t="s">
        <v>475</v>
      </c>
      <c r="L13" t="s">
        <v>119</v>
      </c>
      <c r="M13" t="s">
        <v>476</v>
      </c>
      <c r="N13" t="s">
        <v>473</v>
      </c>
      <c r="O13" t="s">
        <v>474</v>
      </c>
      <c r="P13" t="s">
        <v>105</v>
      </c>
      <c r="Q13" t="s">
        <v>477</v>
      </c>
    </row>
    <row r="14" spans="1:17" x14ac:dyDescent="0.25">
      <c r="A14" s="21" t="s">
        <v>489</v>
      </c>
      <c r="B14" s="22">
        <v>865000</v>
      </c>
      <c r="D14" s="21" t="s">
        <v>474</v>
      </c>
      <c r="E14" s="9">
        <v>47800000</v>
      </c>
      <c r="F14" s="21"/>
      <c r="G14" s="25" t="s">
        <v>502</v>
      </c>
      <c r="H14" s="9">
        <v>62360000</v>
      </c>
      <c r="J14" s="21" t="s">
        <v>99</v>
      </c>
      <c r="K14" s="9">
        <v>21905000</v>
      </c>
      <c r="L14" s="9">
        <v>10200000</v>
      </c>
      <c r="M14" s="9">
        <v>4010000</v>
      </c>
      <c r="N14" s="9">
        <v>70170000</v>
      </c>
      <c r="O14" s="9">
        <v>19950000</v>
      </c>
      <c r="P14" s="9">
        <v>4800000</v>
      </c>
      <c r="Q14" s="9">
        <v>4970000</v>
      </c>
    </row>
    <row r="15" spans="1:17" x14ac:dyDescent="0.25">
      <c r="A15" s="21" t="s">
        <v>483</v>
      </c>
      <c r="B15" s="22">
        <v>760000</v>
      </c>
      <c r="D15" s="21" t="s">
        <v>119</v>
      </c>
      <c r="E15" s="9">
        <v>42870000</v>
      </c>
      <c r="F15" s="21"/>
      <c r="G15" s="25" t="s">
        <v>504</v>
      </c>
      <c r="H15" s="9">
        <v>62275000</v>
      </c>
      <c r="J15" s="21" t="s">
        <v>71</v>
      </c>
      <c r="K15" s="9">
        <v>2280000</v>
      </c>
      <c r="L15" s="9">
        <v>8250000</v>
      </c>
      <c r="M15" s="9">
        <v>2850000</v>
      </c>
      <c r="N15" s="9">
        <v>51049631</v>
      </c>
      <c r="O15" s="9">
        <v>7350000</v>
      </c>
      <c r="P15" s="9">
        <v>3300000</v>
      </c>
      <c r="Q15" s="9">
        <v>7525000</v>
      </c>
    </row>
    <row r="16" spans="1:17" x14ac:dyDescent="0.25">
      <c r="A16" s="21" t="s">
        <v>487</v>
      </c>
      <c r="B16" s="22">
        <v>729233</v>
      </c>
      <c r="D16" s="21" t="s">
        <v>105</v>
      </c>
      <c r="E16" s="9">
        <v>34400000</v>
      </c>
      <c r="F16" s="21"/>
      <c r="G16" s="25" t="s">
        <v>503</v>
      </c>
      <c r="H16" s="9">
        <v>40134631</v>
      </c>
      <c r="J16" s="21" t="s">
        <v>8</v>
      </c>
      <c r="K16" s="9">
        <v>1105000</v>
      </c>
      <c r="L16" s="9">
        <v>15800000</v>
      </c>
      <c r="M16" s="9">
        <v>6455000</v>
      </c>
      <c r="N16" s="9">
        <v>1530000</v>
      </c>
      <c r="O16" s="9">
        <v>15250000</v>
      </c>
      <c r="P16" s="9">
        <v>7800000</v>
      </c>
      <c r="Q16" s="9">
        <v>8755000</v>
      </c>
    </row>
    <row r="17" spans="1:19" x14ac:dyDescent="0.25">
      <c r="A17" s="21" t="s">
        <v>490</v>
      </c>
      <c r="B17" s="22">
        <v>235000</v>
      </c>
      <c r="D17" s="21" t="s">
        <v>475</v>
      </c>
      <c r="E17" s="9">
        <v>26940000</v>
      </c>
      <c r="F17" s="21"/>
      <c r="G17" s="21" t="s">
        <v>505</v>
      </c>
      <c r="H17" s="9"/>
      <c r="J17" s="21" t="s">
        <v>59</v>
      </c>
      <c r="K17" s="9">
        <v>1650000</v>
      </c>
      <c r="L17" s="9">
        <v>8620000</v>
      </c>
      <c r="M17" s="9">
        <v>8335000</v>
      </c>
      <c r="N17" s="9">
        <v>850000</v>
      </c>
      <c r="O17" s="9">
        <v>5250000</v>
      </c>
      <c r="P17" s="9">
        <v>18500000</v>
      </c>
      <c r="Q17" s="9">
        <v>5225000</v>
      </c>
    </row>
    <row r="18" spans="1:19" x14ac:dyDescent="0.25">
      <c r="A18" s="21" t="s">
        <v>492</v>
      </c>
      <c r="B18" s="22">
        <v>25054233</v>
      </c>
      <c r="D18" s="21" t="s">
        <v>477</v>
      </c>
      <c r="E18" s="9">
        <v>26475000</v>
      </c>
      <c r="F18" s="21"/>
      <c r="G18" s="25" t="s">
        <v>506</v>
      </c>
      <c r="H18" s="9">
        <v>98915000</v>
      </c>
    </row>
    <row r="19" spans="1:19" x14ac:dyDescent="0.25">
      <c r="D19" s="21" t="s">
        <v>476</v>
      </c>
      <c r="E19" s="9">
        <v>21650000</v>
      </c>
      <c r="F19" s="21"/>
      <c r="G19" s="25" t="s">
        <v>508</v>
      </c>
      <c r="H19" s="9">
        <v>36635000</v>
      </c>
    </row>
    <row r="20" spans="1:19" x14ac:dyDescent="0.25">
      <c r="G20" s="25" t="s">
        <v>507</v>
      </c>
      <c r="H20" s="9">
        <v>23415000</v>
      </c>
      <c r="M20" t="s">
        <v>497</v>
      </c>
      <c r="Q20" s="20" t="s">
        <v>6</v>
      </c>
      <c r="R20" t="s">
        <v>500</v>
      </c>
      <c r="S20" t="s">
        <v>498</v>
      </c>
    </row>
    <row r="21" spans="1:19" x14ac:dyDescent="0.25">
      <c r="M21" s="23">
        <v>250542.33</v>
      </c>
      <c r="Q21" s="21" t="s">
        <v>99</v>
      </c>
      <c r="R21" s="23">
        <v>11215000</v>
      </c>
      <c r="S21" s="22">
        <v>350</v>
      </c>
    </row>
    <row r="22" spans="1:19" x14ac:dyDescent="0.25">
      <c r="Q22" s="24" t="s">
        <v>179</v>
      </c>
      <c r="R22" s="23">
        <v>5830000</v>
      </c>
      <c r="S22" s="22">
        <v>51</v>
      </c>
    </row>
    <row r="23" spans="1:19" x14ac:dyDescent="0.25">
      <c r="Q23" s="24" t="s">
        <v>479</v>
      </c>
      <c r="R23" s="23">
        <v>1235000</v>
      </c>
      <c r="S23" s="22">
        <v>49</v>
      </c>
    </row>
    <row r="24" spans="1:19" x14ac:dyDescent="0.25">
      <c r="D24" s="20" t="s">
        <v>2</v>
      </c>
      <c r="E24" t="s">
        <v>497</v>
      </c>
      <c r="G24" s="20" t="s">
        <v>2</v>
      </c>
      <c r="H24" t="s">
        <v>498</v>
      </c>
      <c r="J24" s="20" t="s">
        <v>3</v>
      </c>
      <c r="K24" t="s">
        <v>498</v>
      </c>
      <c r="Q24" s="24" t="s">
        <v>437</v>
      </c>
      <c r="R24" s="23">
        <v>1175000</v>
      </c>
      <c r="S24" s="22">
        <v>48</v>
      </c>
    </row>
    <row r="25" spans="1:19" x14ac:dyDescent="0.25">
      <c r="D25" s="21" t="s">
        <v>475</v>
      </c>
      <c r="E25" s="22">
        <v>150384.61538461538</v>
      </c>
      <c r="G25" s="21" t="s">
        <v>475</v>
      </c>
      <c r="H25" s="22">
        <v>164</v>
      </c>
      <c r="J25" s="21" t="s">
        <v>226</v>
      </c>
      <c r="K25" s="22">
        <v>105</v>
      </c>
      <c r="Q25" s="24" t="s">
        <v>116</v>
      </c>
      <c r="R25" s="23">
        <v>980000</v>
      </c>
      <c r="S25" s="22">
        <v>72</v>
      </c>
    </row>
    <row r="26" spans="1:19" x14ac:dyDescent="0.25">
      <c r="D26" s="21" t="s">
        <v>119</v>
      </c>
      <c r="E26" s="22">
        <v>268571.42857142858</v>
      </c>
      <c r="G26" s="21" t="s">
        <v>119</v>
      </c>
      <c r="H26" s="22">
        <v>159</v>
      </c>
      <c r="J26" s="21" t="s">
        <v>120</v>
      </c>
      <c r="K26" s="22">
        <v>191</v>
      </c>
      <c r="Q26" s="24" t="s">
        <v>481</v>
      </c>
      <c r="R26" s="23">
        <v>835000</v>
      </c>
      <c r="S26" s="22">
        <v>47</v>
      </c>
    </row>
    <row r="27" spans="1:19" x14ac:dyDescent="0.25">
      <c r="D27" s="21" t="s">
        <v>476</v>
      </c>
      <c r="E27" s="22">
        <v>110769.23076923077</v>
      </c>
      <c r="G27" s="21" t="s">
        <v>476</v>
      </c>
      <c r="H27" s="22">
        <v>191</v>
      </c>
      <c r="J27" s="21" t="s">
        <v>165</v>
      </c>
      <c r="K27" s="22">
        <v>215</v>
      </c>
      <c r="M27" t="s">
        <v>498</v>
      </c>
      <c r="Q27" s="24" t="s">
        <v>319</v>
      </c>
      <c r="R27" s="23">
        <v>725000</v>
      </c>
      <c r="S27" s="22">
        <v>61</v>
      </c>
    </row>
    <row r="28" spans="1:19" x14ac:dyDescent="0.25">
      <c r="D28" s="21" t="s">
        <v>473</v>
      </c>
      <c r="E28" s="22">
        <v>991154.125</v>
      </c>
      <c r="G28" s="21" t="s">
        <v>473</v>
      </c>
      <c r="H28" s="22">
        <v>90</v>
      </c>
      <c r="J28" s="21" t="s">
        <v>20</v>
      </c>
      <c r="K28" s="22">
        <v>308</v>
      </c>
      <c r="M28" s="22">
        <v>1141</v>
      </c>
      <c r="Q28" s="24" t="s">
        <v>471</v>
      </c>
      <c r="R28" s="23">
        <v>350000</v>
      </c>
      <c r="S28" s="22">
        <v>15</v>
      </c>
    </row>
    <row r="29" spans="1:19" x14ac:dyDescent="0.25">
      <c r="D29" s="21" t="s">
        <v>474</v>
      </c>
      <c r="E29" s="22">
        <v>333333.33333333331</v>
      </c>
      <c r="G29" s="21" t="s">
        <v>474</v>
      </c>
      <c r="H29" s="22">
        <v>142</v>
      </c>
      <c r="J29" s="21" t="s">
        <v>478</v>
      </c>
      <c r="K29" s="22">
        <v>176</v>
      </c>
      <c r="Q29" s="24" t="s">
        <v>74</v>
      </c>
      <c r="R29" s="23">
        <v>85000</v>
      </c>
      <c r="S29" s="22">
        <v>7</v>
      </c>
    </row>
    <row r="30" spans="1:19" x14ac:dyDescent="0.25">
      <c r="D30" s="21" t="s">
        <v>105</v>
      </c>
      <c r="E30" s="22">
        <v>168181.81818181818</v>
      </c>
      <c r="G30" s="21" t="s">
        <v>105</v>
      </c>
      <c r="H30" s="22">
        <v>184</v>
      </c>
      <c r="J30" s="21" t="s">
        <v>110</v>
      </c>
      <c r="K30" s="22">
        <v>146</v>
      </c>
      <c r="Q30" s="21" t="s">
        <v>71</v>
      </c>
      <c r="R30" s="23">
        <v>5349233</v>
      </c>
      <c r="S30" s="22">
        <v>202</v>
      </c>
    </row>
    <row r="31" spans="1:19" x14ac:dyDescent="0.25">
      <c r="D31" s="21" t="s">
        <v>477</v>
      </c>
      <c r="E31" s="22">
        <v>126111.11111111111</v>
      </c>
      <c r="G31" s="21" t="s">
        <v>477</v>
      </c>
      <c r="H31" s="22">
        <v>211</v>
      </c>
      <c r="Q31" s="24" t="s">
        <v>479</v>
      </c>
      <c r="R31" s="23">
        <v>2835000</v>
      </c>
      <c r="S31" s="22">
        <v>38</v>
      </c>
    </row>
    <row r="32" spans="1:19" x14ac:dyDescent="0.25">
      <c r="Q32" s="24" t="s">
        <v>74</v>
      </c>
      <c r="R32" s="23">
        <v>660000</v>
      </c>
      <c r="S32" s="22">
        <v>37</v>
      </c>
    </row>
    <row r="33" spans="8:19" x14ac:dyDescent="0.25">
      <c r="H33" s="20" t="s">
        <v>7</v>
      </c>
      <c r="I33" t="s">
        <v>500</v>
      </c>
      <c r="Q33" s="24" t="s">
        <v>116</v>
      </c>
      <c r="R33" s="23">
        <v>600000</v>
      </c>
      <c r="S33" s="22">
        <v>25</v>
      </c>
    </row>
    <row r="34" spans="8:19" x14ac:dyDescent="0.25">
      <c r="H34" s="21" t="s">
        <v>485</v>
      </c>
      <c r="I34" s="9">
        <v>3735000</v>
      </c>
      <c r="Q34" s="24" t="s">
        <v>437</v>
      </c>
      <c r="R34" s="23">
        <v>475000</v>
      </c>
      <c r="S34" s="22">
        <v>32</v>
      </c>
    </row>
    <row r="35" spans="8:19" x14ac:dyDescent="0.25">
      <c r="H35" s="21" t="s">
        <v>488</v>
      </c>
      <c r="I35" s="9">
        <v>3285000</v>
      </c>
      <c r="Q35" s="24" t="s">
        <v>319</v>
      </c>
      <c r="R35" s="23">
        <v>264233</v>
      </c>
      <c r="S35" s="22">
        <v>21</v>
      </c>
    </row>
    <row r="36" spans="8:19" x14ac:dyDescent="0.25">
      <c r="H36" s="21" t="s">
        <v>486</v>
      </c>
      <c r="I36" s="9">
        <v>3005000</v>
      </c>
      <c r="Q36" s="24" t="s">
        <v>481</v>
      </c>
      <c r="R36" s="23">
        <v>215000</v>
      </c>
      <c r="S36" s="22">
        <v>26</v>
      </c>
    </row>
    <row r="37" spans="8:19" x14ac:dyDescent="0.25">
      <c r="H37" s="21" t="s">
        <v>17</v>
      </c>
      <c r="I37" s="9">
        <v>2610000</v>
      </c>
      <c r="K37" s="20" t="s">
        <v>6</v>
      </c>
      <c r="L37" t="s">
        <v>493</v>
      </c>
      <c r="Q37" s="24" t="s">
        <v>469</v>
      </c>
      <c r="R37" s="23">
        <v>150000</v>
      </c>
      <c r="S37" s="22">
        <v>19</v>
      </c>
    </row>
    <row r="38" spans="8:19" x14ac:dyDescent="0.25">
      <c r="H38" s="21" t="s">
        <v>260</v>
      </c>
      <c r="I38" s="9">
        <v>2225000</v>
      </c>
      <c r="K38" s="21" t="s">
        <v>179</v>
      </c>
      <c r="L38" s="9">
        <v>87960000</v>
      </c>
      <c r="Q38" s="24" t="s">
        <v>179</v>
      </c>
      <c r="R38" s="23">
        <v>150000</v>
      </c>
      <c r="S38" s="22">
        <v>4</v>
      </c>
    </row>
    <row r="39" spans="8:19" x14ac:dyDescent="0.25">
      <c r="K39" s="21" t="s">
        <v>479</v>
      </c>
      <c r="L39" s="9">
        <v>76690000</v>
      </c>
      <c r="Q39" s="21" t="s">
        <v>8</v>
      </c>
      <c r="R39" s="23">
        <v>4490000</v>
      </c>
      <c r="S39" s="22">
        <v>308</v>
      </c>
    </row>
    <row r="40" spans="8:19" x14ac:dyDescent="0.25">
      <c r="K40" s="21" t="s">
        <v>116</v>
      </c>
      <c r="L40" s="9">
        <v>47820000</v>
      </c>
      <c r="Q40" s="24" t="s">
        <v>319</v>
      </c>
      <c r="R40" s="23">
        <v>1050000</v>
      </c>
      <c r="S40" s="22">
        <v>87</v>
      </c>
    </row>
    <row r="41" spans="8:19" x14ac:dyDescent="0.25">
      <c r="K41" s="21" t="s">
        <v>319</v>
      </c>
      <c r="L41" s="9">
        <v>33629631</v>
      </c>
      <c r="Q41" s="24" t="s">
        <v>481</v>
      </c>
      <c r="R41" s="23">
        <v>1025000</v>
      </c>
      <c r="S41" s="22">
        <v>60</v>
      </c>
    </row>
    <row r="42" spans="8:19" x14ac:dyDescent="0.25">
      <c r="K42" s="21" t="s">
        <v>481</v>
      </c>
      <c r="L42" s="9">
        <v>28845000</v>
      </c>
      <c r="Q42" s="24" t="s">
        <v>74</v>
      </c>
      <c r="R42" s="23">
        <v>700000</v>
      </c>
      <c r="S42" s="22">
        <v>35</v>
      </c>
    </row>
    <row r="43" spans="8:19" x14ac:dyDescent="0.25">
      <c r="K43" s="21" t="s">
        <v>437</v>
      </c>
      <c r="L43" s="9">
        <v>20585000</v>
      </c>
      <c r="Q43" s="24" t="s">
        <v>479</v>
      </c>
      <c r="R43" s="23">
        <v>575000</v>
      </c>
      <c r="S43" s="22">
        <v>50</v>
      </c>
    </row>
    <row r="44" spans="8:19" x14ac:dyDescent="0.25">
      <c r="K44" s="21" t="s">
        <v>74</v>
      </c>
      <c r="L44" s="9">
        <v>19455000</v>
      </c>
      <c r="Q44" s="24" t="s">
        <v>116</v>
      </c>
      <c r="R44" s="23">
        <v>490000</v>
      </c>
      <c r="S44" s="22">
        <v>36</v>
      </c>
    </row>
    <row r="45" spans="8:19" x14ac:dyDescent="0.25">
      <c r="K45" s="21" t="s">
        <v>471</v>
      </c>
      <c r="L45" s="9">
        <v>5250000</v>
      </c>
      <c r="Q45" s="24" t="s">
        <v>179</v>
      </c>
      <c r="R45" s="23">
        <v>435000</v>
      </c>
      <c r="S45" s="22">
        <v>26</v>
      </c>
    </row>
    <row r="46" spans="8:19" x14ac:dyDescent="0.25">
      <c r="K46" s="21" t="s">
        <v>469</v>
      </c>
      <c r="L46" s="9">
        <v>2850000</v>
      </c>
      <c r="Q46" s="24" t="s">
        <v>437</v>
      </c>
      <c r="R46" s="23">
        <v>215000</v>
      </c>
      <c r="S46" s="22">
        <v>14</v>
      </c>
    </row>
    <row r="47" spans="8:19" x14ac:dyDescent="0.25">
      <c r="K47" s="21" t="s">
        <v>470</v>
      </c>
      <c r="L47" s="9">
        <v>650000</v>
      </c>
      <c r="Q47" s="21" t="s">
        <v>59</v>
      </c>
      <c r="R47" s="23">
        <v>4000000</v>
      </c>
      <c r="S47" s="22">
        <v>281</v>
      </c>
    </row>
    <row r="48" spans="8:19" x14ac:dyDescent="0.25">
      <c r="Q48" s="24" t="s">
        <v>116</v>
      </c>
      <c r="R48" s="23">
        <v>1590000</v>
      </c>
      <c r="S48" s="22">
        <v>91</v>
      </c>
    </row>
    <row r="49" spans="15:19" x14ac:dyDescent="0.25">
      <c r="Q49" s="24" t="s">
        <v>74</v>
      </c>
      <c r="R49" s="23">
        <v>915000</v>
      </c>
      <c r="S49" s="22">
        <v>45</v>
      </c>
    </row>
    <row r="50" spans="15:19" x14ac:dyDescent="0.25">
      <c r="Q50" s="24" t="s">
        <v>179</v>
      </c>
      <c r="R50" s="23">
        <v>590000</v>
      </c>
      <c r="S50" s="22">
        <v>40</v>
      </c>
    </row>
    <row r="51" spans="15:19" x14ac:dyDescent="0.25">
      <c r="Q51" s="24" t="s">
        <v>479</v>
      </c>
      <c r="R51" s="23">
        <v>305000</v>
      </c>
      <c r="S51" s="22">
        <v>40</v>
      </c>
    </row>
    <row r="52" spans="15:19" x14ac:dyDescent="0.25">
      <c r="Q52" s="24" t="s">
        <v>319</v>
      </c>
      <c r="R52" s="23">
        <v>300000</v>
      </c>
      <c r="S52" s="22">
        <v>26</v>
      </c>
    </row>
    <row r="53" spans="15:19" x14ac:dyDescent="0.25">
      <c r="Q53" s="24" t="s">
        <v>437</v>
      </c>
      <c r="R53" s="23">
        <v>150000</v>
      </c>
      <c r="S53" s="22">
        <v>11</v>
      </c>
    </row>
    <row r="54" spans="15:19" x14ac:dyDescent="0.25">
      <c r="Q54" s="24" t="s">
        <v>481</v>
      </c>
      <c r="R54" s="23">
        <v>85000</v>
      </c>
      <c r="S54" s="22">
        <v>18</v>
      </c>
    </row>
    <row r="55" spans="15:19" x14ac:dyDescent="0.25">
      <c r="Q55" s="24" t="s">
        <v>470</v>
      </c>
      <c r="R55" s="23">
        <v>65000</v>
      </c>
      <c r="S55" s="22">
        <v>10</v>
      </c>
    </row>
    <row r="56" spans="15:19" x14ac:dyDescent="0.25">
      <c r="O56" s="22"/>
    </row>
    <row r="57" spans="15:19" x14ac:dyDescent="0.25">
      <c r="O57" s="22"/>
    </row>
    <row r="58" spans="15:19" x14ac:dyDescent="0.25">
      <c r="O58" s="22"/>
    </row>
    <row r="59" spans="15:19" x14ac:dyDescent="0.25">
      <c r="O59" s="22"/>
    </row>
    <row r="60" spans="15:19" x14ac:dyDescent="0.25">
      <c r="O60" s="22"/>
    </row>
    <row r="61" spans="15:19" x14ac:dyDescent="0.25">
      <c r="O61" s="22"/>
    </row>
    <row r="62" spans="15:19" x14ac:dyDescent="0.25">
      <c r="O62" s="22"/>
    </row>
    <row r="63" spans="15:19" x14ac:dyDescent="0.25">
      <c r="O63" s="22"/>
    </row>
    <row r="64" spans="15:19" x14ac:dyDescent="0.25">
      <c r="O64" s="22"/>
    </row>
    <row r="65" spans="6:15" x14ac:dyDescent="0.25">
      <c r="O65" s="22"/>
    </row>
    <row r="79" spans="6:15" x14ac:dyDescent="0.25">
      <c r="F79" s="21"/>
      <c r="G79" s="9"/>
    </row>
    <row r="80" spans="6:15" x14ac:dyDescent="0.25">
      <c r="F80" s="25"/>
      <c r="G80" s="9"/>
    </row>
    <row r="81" spans="6:7" x14ac:dyDescent="0.25">
      <c r="F81" s="25"/>
      <c r="G81" s="9"/>
    </row>
    <row r="82" spans="6:7" x14ac:dyDescent="0.25">
      <c r="F82" s="25"/>
      <c r="G82" s="9"/>
    </row>
    <row r="83" spans="6:7" x14ac:dyDescent="0.25">
      <c r="F83" s="21"/>
      <c r="G83" s="9"/>
    </row>
    <row r="84" spans="6:7" x14ac:dyDescent="0.25">
      <c r="F84" s="25"/>
      <c r="G84" s="9"/>
    </row>
    <row r="85" spans="6:7" x14ac:dyDescent="0.25">
      <c r="F85" s="25"/>
      <c r="G85" s="9"/>
    </row>
    <row r="86" spans="6:7" x14ac:dyDescent="0.25">
      <c r="F86" s="25"/>
      <c r="G86" s="9"/>
    </row>
  </sheetData>
  <pageMargins left="0.7" right="0.7" top="0.75" bottom="0.75" header="0.3" footer="0.3"/>
  <pageSetup orientation="portrait" r:id="rId16"/>
  <drawing r:id="rId17"/>
  <extLst>
    <ext xmlns:x14="http://schemas.microsoft.com/office/spreadsheetml/2009/9/main" uri="{A8765BA9-456A-4dab-B4F3-ACF838C121DE}">
      <x14:slicerList>
        <x14:slicer r:id="rId18"/>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Q61"/>
  <sheetViews>
    <sheetView zoomScaleNormal="100" workbookViewId="0">
      <selection activeCell="E12" sqref="E12"/>
    </sheetView>
  </sheetViews>
  <sheetFormatPr defaultRowHeight="15" x14ac:dyDescent="0.25"/>
  <cols>
    <col min="1" max="1" width="14" bestFit="1" customWidth="1"/>
    <col min="2" max="2" width="17.42578125" bestFit="1" customWidth="1"/>
    <col min="4" max="4" width="12.28515625" customWidth="1"/>
    <col min="5" max="5" width="16.7109375" customWidth="1"/>
    <col min="7" max="7" width="12.7109375" customWidth="1"/>
    <col min="8" max="8" width="17" customWidth="1"/>
    <col min="10" max="10" width="12.28515625" customWidth="1"/>
    <col min="11" max="11" width="17" customWidth="1"/>
    <col min="12" max="12" width="11.5703125" customWidth="1"/>
    <col min="13" max="13" width="12.5703125" customWidth="1"/>
    <col min="14" max="16" width="11.5703125" customWidth="1"/>
    <col min="17" max="17" width="10.5703125" customWidth="1"/>
    <col min="18" max="18" width="11.28515625" bestFit="1" customWidth="1"/>
  </cols>
  <sheetData>
    <row r="3" spans="1:17" x14ac:dyDescent="0.25">
      <c r="D3" s="20" t="s">
        <v>495</v>
      </c>
      <c r="E3" t="s">
        <v>493</v>
      </c>
      <c r="G3" s="20" t="s">
        <v>494</v>
      </c>
      <c r="H3" t="s">
        <v>493</v>
      </c>
      <c r="J3" s="20" t="s">
        <v>2</v>
      </c>
      <c r="K3" t="s">
        <v>493</v>
      </c>
    </row>
    <row r="4" spans="1:17" x14ac:dyDescent="0.25">
      <c r="A4" s="21"/>
      <c r="B4" s="9"/>
      <c r="D4" s="21" t="s">
        <v>99</v>
      </c>
      <c r="E4" s="9">
        <v>136005000</v>
      </c>
      <c r="G4" s="21" t="s">
        <v>226</v>
      </c>
      <c r="H4" s="9">
        <v>8954631</v>
      </c>
      <c r="J4" s="21" t="s">
        <v>473</v>
      </c>
      <c r="K4" s="9">
        <v>123599631</v>
      </c>
    </row>
    <row r="5" spans="1:17" x14ac:dyDescent="0.25">
      <c r="A5" s="21"/>
      <c r="B5" s="9"/>
      <c r="D5" s="21" t="s">
        <v>71</v>
      </c>
      <c r="E5" s="9">
        <v>82604631</v>
      </c>
      <c r="G5" s="21" t="s">
        <v>120</v>
      </c>
      <c r="H5" s="9">
        <v>155750000</v>
      </c>
      <c r="J5" s="21" t="s">
        <v>474</v>
      </c>
      <c r="K5" s="9">
        <v>47800000</v>
      </c>
    </row>
    <row r="6" spans="1:17" x14ac:dyDescent="0.25">
      <c r="A6" s="21"/>
      <c r="B6" s="9"/>
      <c r="D6" s="21" t="s">
        <v>8</v>
      </c>
      <c r="E6" s="9">
        <v>56695000</v>
      </c>
      <c r="G6" s="21" t="s">
        <v>165</v>
      </c>
      <c r="H6" s="9">
        <v>75250000</v>
      </c>
      <c r="J6" s="21" t="s">
        <v>119</v>
      </c>
      <c r="K6" s="9">
        <v>42870000</v>
      </c>
    </row>
    <row r="7" spans="1:17" x14ac:dyDescent="0.25">
      <c r="A7" s="21"/>
      <c r="B7" s="9"/>
      <c r="D7" s="21" t="s">
        <v>59</v>
      </c>
      <c r="E7" s="9">
        <v>48430000</v>
      </c>
      <c r="G7" s="21" t="s">
        <v>20</v>
      </c>
      <c r="H7" s="9">
        <v>46620000</v>
      </c>
      <c r="J7" s="21" t="s">
        <v>105</v>
      </c>
      <c r="K7" s="9">
        <v>34400000</v>
      </c>
    </row>
    <row r="8" spans="1:17" x14ac:dyDescent="0.25">
      <c r="A8" s="21"/>
      <c r="B8" s="9"/>
      <c r="G8" s="21" t="s">
        <v>478</v>
      </c>
      <c r="H8" s="9">
        <v>11610000</v>
      </c>
      <c r="J8" s="21" t="s">
        <v>475</v>
      </c>
      <c r="K8" s="9">
        <v>26940000</v>
      </c>
    </row>
    <row r="9" spans="1:17" x14ac:dyDescent="0.25">
      <c r="D9" s="20" t="s">
        <v>2</v>
      </c>
      <c r="E9" t="s">
        <v>498</v>
      </c>
      <c r="G9" s="21" t="s">
        <v>110</v>
      </c>
      <c r="H9" s="9">
        <v>25550000</v>
      </c>
      <c r="J9" s="21" t="s">
        <v>477</v>
      </c>
      <c r="K9" s="9">
        <v>26475000</v>
      </c>
    </row>
    <row r="10" spans="1:17" x14ac:dyDescent="0.25">
      <c r="D10" s="21" t="s">
        <v>475</v>
      </c>
      <c r="E10" s="22">
        <v>164</v>
      </c>
      <c r="G10" s="21" t="s">
        <v>492</v>
      </c>
      <c r="H10" s="9">
        <v>323734631</v>
      </c>
      <c r="J10" s="21" t="s">
        <v>476</v>
      </c>
      <c r="K10" s="9">
        <v>21650000</v>
      </c>
    </row>
    <row r="11" spans="1:17" x14ac:dyDescent="0.25">
      <c r="D11" s="21" t="s">
        <v>119</v>
      </c>
      <c r="E11" s="22">
        <v>159</v>
      </c>
    </row>
    <row r="12" spans="1:17" x14ac:dyDescent="0.25">
      <c r="D12" s="21" t="s">
        <v>476</v>
      </c>
      <c r="E12" s="22">
        <v>191</v>
      </c>
      <c r="G12" s="20" t="s">
        <v>0</v>
      </c>
      <c r="H12" t="s">
        <v>493</v>
      </c>
      <c r="J12" s="20" t="s">
        <v>493</v>
      </c>
      <c r="K12" s="20" t="s">
        <v>496</v>
      </c>
    </row>
    <row r="13" spans="1:17" x14ac:dyDescent="0.25">
      <c r="D13" s="21" t="s">
        <v>473</v>
      </c>
      <c r="E13" s="22">
        <v>90</v>
      </c>
      <c r="F13" s="21"/>
      <c r="G13" s="21" t="s">
        <v>501</v>
      </c>
      <c r="H13" s="9"/>
      <c r="J13" s="20" t="s">
        <v>1</v>
      </c>
      <c r="K13" t="s">
        <v>475</v>
      </c>
      <c r="L13" t="s">
        <v>119</v>
      </c>
      <c r="M13" t="s">
        <v>476</v>
      </c>
      <c r="N13" t="s">
        <v>473</v>
      </c>
      <c r="O13" t="s">
        <v>474</v>
      </c>
      <c r="P13" t="s">
        <v>105</v>
      </c>
      <c r="Q13" t="s">
        <v>477</v>
      </c>
    </row>
    <row r="14" spans="1:17" x14ac:dyDescent="0.25">
      <c r="D14" s="21" t="s">
        <v>474</v>
      </c>
      <c r="E14" s="22">
        <v>142</v>
      </c>
      <c r="F14" s="21"/>
      <c r="G14" s="25" t="s">
        <v>503</v>
      </c>
      <c r="H14" s="9">
        <v>40134631</v>
      </c>
      <c r="J14" s="21" t="s">
        <v>99</v>
      </c>
      <c r="K14" s="9">
        <v>21905000</v>
      </c>
      <c r="L14" s="9">
        <v>10200000</v>
      </c>
      <c r="M14" s="9">
        <v>4010000</v>
      </c>
      <c r="N14" s="9">
        <v>70170000</v>
      </c>
      <c r="O14" s="9">
        <v>19950000</v>
      </c>
      <c r="P14" s="9">
        <v>4800000</v>
      </c>
      <c r="Q14" s="9">
        <v>4970000</v>
      </c>
    </row>
    <row r="15" spans="1:17" x14ac:dyDescent="0.25">
      <c r="D15" s="21" t="s">
        <v>105</v>
      </c>
      <c r="E15" s="22">
        <v>184</v>
      </c>
      <c r="F15" s="21"/>
      <c r="G15" s="25" t="s">
        <v>502</v>
      </c>
      <c r="H15" s="9">
        <v>62360000</v>
      </c>
      <c r="J15" s="21" t="s">
        <v>71</v>
      </c>
      <c r="K15" s="9">
        <v>2280000</v>
      </c>
      <c r="L15" s="9">
        <v>8250000</v>
      </c>
      <c r="M15" s="9">
        <v>2850000</v>
      </c>
      <c r="N15" s="9">
        <v>51049631</v>
      </c>
      <c r="O15" s="9">
        <v>7350000</v>
      </c>
      <c r="P15" s="9">
        <v>3300000</v>
      </c>
      <c r="Q15" s="9">
        <v>7525000</v>
      </c>
    </row>
    <row r="16" spans="1:17" x14ac:dyDescent="0.25">
      <c r="D16" s="21" t="s">
        <v>477</v>
      </c>
      <c r="E16" s="22">
        <v>211</v>
      </c>
      <c r="F16" s="21"/>
      <c r="G16" s="25" t="s">
        <v>504</v>
      </c>
      <c r="H16" s="9">
        <v>62275000</v>
      </c>
      <c r="J16" s="21" t="s">
        <v>8</v>
      </c>
      <c r="K16" s="9">
        <v>1105000</v>
      </c>
      <c r="L16" s="9">
        <v>15800000</v>
      </c>
      <c r="M16" s="9">
        <v>6455000</v>
      </c>
      <c r="N16" s="9">
        <v>1530000</v>
      </c>
      <c r="O16" s="9">
        <v>15250000</v>
      </c>
      <c r="P16" s="9">
        <v>7800000</v>
      </c>
      <c r="Q16" s="9">
        <v>8755000</v>
      </c>
    </row>
    <row r="17" spans="4:17" x14ac:dyDescent="0.25">
      <c r="F17" s="21"/>
      <c r="G17" s="21" t="s">
        <v>505</v>
      </c>
      <c r="H17" s="9"/>
      <c r="J17" s="21" t="s">
        <v>59</v>
      </c>
      <c r="K17" s="9">
        <v>1650000</v>
      </c>
      <c r="L17" s="9">
        <v>8620000</v>
      </c>
      <c r="M17" s="9">
        <v>8335000</v>
      </c>
      <c r="N17" s="9">
        <v>850000</v>
      </c>
      <c r="O17" s="9">
        <v>5250000</v>
      </c>
      <c r="P17" s="9">
        <v>18500000</v>
      </c>
      <c r="Q17" s="9">
        <v>5225000</v>
      </c>
    </row>
    <row r="18" spans="4:17" x14ac:dyDescent="0.25">
      <c r="D18" s="20" t="s">
        <v>2</v>
      </c>
      <c r="E18" t="s">
        <v>497</v>
      </c>
      <c r="F18" s="21"/>
      <c r="G18" s="25" t="s">
        <v>507</v>
      </c>
      <c r="H18" s="9">
        <v>23415000</v>
      </c>
    </row>
    <row r="19" spans="4:17" x14ac:dyDescent="0.25">
      <c r="D19" s="21" t="s">
        <v>475</v>
      </c>
      <c r="E19" s="9">
        <v>150384.61538461538</v>
      </c>
      <c r="F19" s="21"/>
      <c r="G19" s="25" t="s">
        <v>506</v>
      </c>
      <c r="H19" s="9">
        <v>98915000</v>
      </c>
    </row>
    <row r="20" spans="4:17" x14ac:dyDescent="0.25">
      <c r="D20" s="21" t="s">
        <v>119</v>
      </c>
      <c r="E20" s="9">
        <v>268571.42857142858</v>
      </c>
      <c r="G20" s="25" t="s">
        <v>508</v>
      </c>
      <c r="H20" s="9">
        <v>36635000</v>
      </c>
      <c r="J20" s="20" t="s">
        <v>2</v>
      </c>
      <c r="K20" t="s">
        <v>500</v>
      </c>
      <c r="M20" s="20" t="s">
        <v>6</v>
      </c>
      <c r="N20" t="s">
        <v>500</v>
      </c>
      <c r="O20" t="s">
        <v>498</v>
      </c>
    </row>
    <row r="21" spans="4:17" x14ac:dyDescent="0.25">
      <c r="D21" s="21" t="s">
        <v>476</v>
      </c>
      <c r="E21" s="9">
        <v>110769.23076923077</v>
      </c>
      <c r="J21" s="21" t="s">
        <v>260</v>
      </c>
      <c r="K21" s="9">
        <v>2225000</v>
      </c>
      <c r="M21" s="21" t="s">
        <v>470</v>
      </c>
      <c r="N21" s="9">
        <v>65000</v>
      </c>
      <c r="O21" s="22">
        <v>10</v>
      </c>
    </row>
    <row r="22" spans="4:17" x14ac:dyDescent="0.25">
      <c r="D22" s="21" t="s">
        <v>473</v>
      </c>
      <c r="E22" s="9">
        <v>991154.125</v>
      </c>
      <c r="J22" s="21" t="s">
        <v>485</v>
      </c>
      <c r="K22" s="9">
        <v>3735000</v>
      </c>
      <c r="M22" s="24" t="s">
        <v>59</v>
      </c>
      <c r="N22" s="9">
        <v>65000</v>
      </c>
      <c r="O22" s="22">
        <v>10</v>
      </c>
    </row>
    <row r="23" spans="4:17" x14ac:dyDescent="0.25">
      <c r="D23" s="21" t="s">
        <v>474</v>
      </c>
      <c r="E23" s="9">
        <v>333333.33333333331</v>
      </c>
      <c r="J23" s="21" t="s">
        <v>17</v>
      </c>
      <c r="K23" s="9">
        <v>2610000</v>
      </c>
      <c r="M23" s="21" t="s">
        <v>74</v>
      </c>
      <c r="N23" s="9">
        <v>2360000</v>
      </c>
      <c r="O23" s="22">
        <v>124</v>
      </c>
    </row>
    <row r="24" spans="4:17" x14ac:dyDescent="0.25">
      <c r="D24" s="21" t="s">
        <v>105</v>
      </c>
      <c r="E24" s="9">
        <v>168181.81818181818</v>
      </c>
      <c r="J24" s="21" t="s">
        <v>488</v>
      </c>
      <c r="K24" s="9">
        <v>3285000</v>
      </c>
      <c r="M24" s="24" t="s">
        <v>99</v>
      </c>
      <c r="N24" s="9">
        <v>85000</v>
      </c>
      <c r="O24" s="22">
        <v>7</v>
      </c>
    </row>
    <row r="25" spans="4:17" x14ac:dyDescent="0.25">
      <c r="D25" s="21" t="s">
        <v>477</v>
      </c>
      <c r="E25" s="9">
        <v>126111.11111111111</v>
      </c>
      <c r="J25" s="21" t="s">
        <v>486</v>
      </c>
      <c r="K25" s="9">
        <v>3005000</v>
      </c>
      <c r="M25" s="24" t="s">
        <v>71</v>
      </c>
      <c r="N25" s="9">
        <v>660000</v>
      </c>
      <c r="O25" s="22">
        <v>37</v>
      </c>
    </row>
    <row r="26" spans="4:17" x14ac:dyDescent="0.25">
      <c r="M26" s="24" t="s">
        <v>8</v>
      </c>
      <c r="N26" s="9">
        <v>700000</v>
      </c>
      <c r="O26" s="22">
        <v>35</v>
      </c>
    </row>
    <row r="27" spans="4:17" x14ac:dyDescent="0.25">
      <c r="D27" s="20" t="s">
        <v>6</v>
      </c>
      <c r="E27" t="s">
        <v>493</v>
      </c>
      <c r="M27" s="24" t="s">
        <v>59</v>
      </c>
      <c r="N27" s="9">
        <v>915000</v>
      </c>
      <c r="O27" s="22">
        <v>45</v>
      </c>
    </row>
    <row r="28" spans="4:17" x14ac:dyDescent="0.25">
      <c r="D28" s="21" t="s">
        <v>179</v>
      </c>
      <c r="E28" s="9">
        <v>87960000</v>
      </c>
      <c r="M28" s="21" t="s">
        <v>116</v>
      </c>
      <c r="N28" s="9">
        <v>3660000</v>
      </c>
      <c r="O28" s="22">
        <v>224</v>
      </c>
    </row>
    <row r="29" spans="4:17" x14ac:dyDescent="0.25">
      <c r="D29" s="21" t="s">
        <v>479</v>
      </c>
      <c r="E29" s="9">
        <v>76690000</v>
      </c>
      <c r="M29" s="24" t="s">
        <v>99</v>
      </c>
      <c r="N29" s="9">
        <v>980000</v>
      </c>
      <c r="O29" s="22">
        <v>72</v>
      </c>
    </row>
    <row r="30" spans="4:17" x14ac:dyDescent="0.25">
      <c r="D30" s="21" t="s">
        <v>116</v>
      </c>
      <c r="E30" s="9">
        <v>47820000</v>
      </c>
      <c r="J30" s="20" t="s">
        <v>6</v>
      </c>
      <c r="K30" t="s">
        <v>493</v>
      </c>
      <c r="M30" s="24" t="s">
        <v>71</v>
      </c>
      <c r="N30" s="9">
        <v>600000</v>
      </c>
      <c r="O30" s="22">
        <v>25</v>
      </c>
    </row>
    <row r="31" spans="4:17" x14ac:dyDescent="0.25">
      <c r="D31" s="21" t="s">
        <v>319</v>
      </c>
      <c r="E31" s="9">
        <v>33629631</v>
      </c>
      <c r="J31" s="21" t="s">
        <v>179</v>
      </c>
      <c r="K31" s="9">
        <v>87960000</v>
      </c>
      <c r="M31" s="24" t="s">
        <v>8</v>
      </c>
      <c r="N31" s="9">
        <v>490000</v>
      </c>
      <c r="O31" s="22">
        <v>36</v>
      </c>
    </row>
    <row r="32" spans="4:17" x14ac:dyDescent="0.25">
      <c r="D32" s="21" t="s">
        <v>481</v>
      </c>
      <c r="E32" s="9">
        <v>28845000</v>
      </c>
      <c r="J32" s="21" t="s">
        <v>479</v>
      </c>
      <c r="K32" s="9">
        <v>76690000</v>
      </c>
      <c r="M32" s="24" t="s">
        <v>59</v>
      </c>
      <c r="N32" s="9">
        <v>1590000</v>
      </c>
      <c r="O32" s="22">
        <v>91</v>
      </c>
    </row>
    <row r="33" spans="4:15" x14ac:dyDescent="0.25">
      <c r="D33" s="21" t="s">
        <v>437</v>
      </c>
      <c r="E33" s="9">
        <v>20585000</v>
      </c>
      <c r="J33" s="21" t="s">
        <v>116</v>
      </c>
      <c r="K33" s="9">
        <v>47820000</v>
      </c>
      <c r="M33" s="21" t="s">
        <v>319</v>
      </c>
      <c r="N33" s="9">
        <v>2339233</v>
      </c>
      <c r="O33" s="22">
        <v>195</v>
      </c>
    </row>
    <row r="34" spans="4:15" x14ac:dyDescent="0.25">
      <c r="D34" s="21" t="s">
        <v>74</v>
      </c>
      <c r="E34" s="9">
        <v>19455000</v>
      </c>
      <c r="J34" s="21" t="s">
        <v>319</v>
      </c>
      <c r="K34" s="9">
        <v>33629631</v>
      </c>
      <c r="M34" s="24" t="s">
        <v>99</v>
      </c>
      <c r="N34" s="9">
        <v>725000</v>
      </c>
      <c r="O34" s="22">
        <v>61</v>
      </c>
    </row>
    <row r="35" spans="4:15" x14ac:dyDescent="0.25">
      <c r="D35" s="21" t="s">
        <v>471</v>
      </c>
      <c r="E35" s="9">
        <v>5250000</v>
      </c>
      <c r="J35" s="21" t="s">
        <v>481</v>
      </c>
      <c r="K35" s="9">
        <v>28845000</v>
      </c>
      <c r="M35" s="24" t="s">
        <v>71</v>
      </c>
      <c r="N35" s="9">
        <v>264233</v>
      </c>
      <c r="O35" s="22">
        <v>21</v>
      </c>
    </row>
    <row r="36" spans="4:15" x14ac:dyDescent="0.25">
      <c r="D36" s="21" t="s">
        <v>469</v>
      </c>
      <c r="E36" s="9">
        <v>2850000</v>
      </c>
      <c r="J36" s="21" t="s">
        <v>437</v>
      </c>
      <c r="K36" s="9">
        <v>20585000</v>
      </c>
      <c r="M36" s="24" t="s">
        <v>8</v>
      </c>
      <c r="N36" s="9">
        <v>1050000</v>
      </c>
      <c r="O36" s="22">
        <v>87</v>
      </c>
    </row>
    <row r="37" spans="4:15" x14ac:dyDescent="0.25">
      <c r="D37" s="21" t="s">
        <v>470</v>
      </c>
      <c r="E37" s="9">
        <v>650000</v>
      </c>
      <c r="J37" s="21" t="s">
        <v>74</v>
      </c>
      <c r="K37" s="9">
        <v>19455000</v>
      </c>
      <c r="M37" s="24" t="s">
        <v>59</v>
      </c>
      <c r="N37" s="9">
        <v>300000</v>
      </c>
      <c r="O37" s="22">
        <v>26</v>
      </c>
    </row>
    <row r="38" spans="4:15" x14ac:dyDescent="0.25">
      <c r="J38" s="21" t="s">
        <v>471</v>
      </c>
      <c r="K38" s="9">
        <v>5250000</v>
      </c>
      <c r="L38" s="22"/>
      <c r="M38" s="21" t="s">
        <v>479</v>
      </c>
      <c r="N38" s="9">
        <v>4950000</v>
      </c>
      <c r="O38" s="22">
        <v>177</v>
      </c>
    </row>
    <row r="39" spans="4:15" x14ac:dyDescent="0.25">
      <c r="D39" s="20" t="s">
        <v>499</v>
      </c>
      <c r="E39" t="s">
        <v>498</v>
      </c>
      <c r="J39" s="21" t="s">
        <v>469</v>
      </c>
      <c r="K39" s="9">
        <v>2850000</v>
      </c>
      <c r="L39" s="22"/>
      <c r="M39" s="24" t="s">
        <v>99</v>
      </c>
      <c r="N39" s="9">
        <v>1235000</v>
      </c>
      <c r="O39" s="22">
        <v>49</v>
      </c>
    </row>
    <row r="40" spans="4:15" x14ac:dyDescent="0.25">
      <c r="D40" s="21" t="s">
        <v>226</v>
      </c>
      <c r="E40" s="22">
        <v>105</v>
      </c>
      <c r="J40" s="21" t="s">
        <v>470</v>
      </c>
      <c r="K40" s="9">
        <v>650000</v>
      </c>
      <c r="L40" s="22"/>
      <c r="M40" s="24" t="s">
        <v>71</v>
      </c>
      <c r="N40" s="9">
        <v>2835000</v>
      </c>
      <c r="O40" s="22">
        <v>38</v>
      </c>
    </row>
    <row r="41" spans="4:15" x14ac:dyDescent="0.25">
      <c r="D41" s="21" t="s">
        <v>120</v>
      </c>
      <c r="E41" s="22">
        <v>191</v>
      </c>
      <c r="K41" s="21"/>
      <c r="L41" s="22"/>
      <c r="M41" s="24" t="s">
        <v>8</v>
      </c>
      <c r="N41" s="9">
        <v>575000</v>
      </c>
      <c r="O41" s="22">
        <v>50</v>
      </c>
    </row>
    <row r="42" spans="4:15" x14ac:dyDescent="0.25">
      <c r="D42" s="21" t="s">
        <v>165</v>
      </c>
      <c r="E42" s="22">
        <v>215</v>
      </c>
      <c r="M42" s="24" t="s">
        <v>59</v>
      </c>
      <c r="N42" s="9">
        <v>305000</v>
      </c>
      <c r="O42" s="22">
        <v>40</v>
      </c>
    </row>
    <row r="43" spans="4:15" x14ac:dyDescent="0.25">
      <c r="D43" s="21" t="s">
        <v>20</v>
      </c>
      <c r="E43" s="22">
        <v>308</v>
      </c>
      <c r="M43" s="21" t="s">
        <v>481</v>
      </c>
      <c r="N43" s="9">
        <v>2160000</v>
      </c>
      <c r="O43" s="22">
        <v>151</v>
      </c>
    </row>
    <row r="44" spans="4:15" x14ac:dyDescent="0.25">
      <c r="D44" s="21" t="s">
        <v>478</v>
      </c>
      <c r="E44" s="22">
        <v>176</v>
      </c>
      <c r="M44" s="24" t="s">
        <v>99</v>
      </c>
      <c r="N44" s="9">
        <v>835000</v>
      </c>
      <c r="O44" s="22">
        <v>47</v>
      </c>
    </row>
    <row r="45" spans="4:15" x14ac:dyDescent="0.25">
      <c r="D45" s="21" t="s">
        <v>110</v>
      </c>
      <c r="E45" s="22">
        <v>146</v>
      </c>
      <c r="M45" s="24" t="s">
        <v>71</v>
      </c>
      <c r="N45" s="9">
        <v>215000</v>
      </c>
      <c r="O45" s="22">
        <v>26</v>
      </c>
    </row>
    <row r="46" spans="4:15" x14ac:dyDescent="0.25">
      <c r="M46" s="24" t="s">
        <v>8</v>
      </c>
      <c r="N46" s="9">
        <v>1025000</v>
      </c>
      <c r="O46" s="22">
        <v>60</v>
      </c>
    </row>
    <row r="47" spans="4:15" x14ac:dyDescent="0.25">
      <c r="M47" s="24" t="s">
        <v>59</v>
      </c>
      <c r="N47" s="9">
        <v>85000</v>
      </c>
      <c r="O47" s="22">
        <v>18</v>
      </c>
    </row>
    <row r="48" spans="4:15" x14ac:dyDescent="0.25">
      <c r="M48" s="21" t="s">
        <v>471</v>
      </c>
      <c r="N48" s="9">
        <v>350000</v>
      </c>
      <c r="O48" s="22">
        <v>15</v>
      </c>
    </row>
    <row r="49" spans="13:15" x14ac:dyDescent="0.25">
      <c r="M49" s="24" t="s">
        <v>99</v>
      </c>
      <c r="N49" s="9">
        <v>350000</v>
      </c>
      <c r="O49" s="22">
        <v>15</v>
      </c>
    </row>
    <row r="50" spans="13:15" x14ac:dyDescent="0.25">
      <c r="M50" s="21" t="s">
        <v>437</v>
      </c>
      <c r="N50" s="9">
        <v>2015000</v>
      </c>
      <c r="O50" s="22">
        <v>105</v>
      </c>
    </row>
    <row r="51" spans="13:15" x14ac:dyDescent="0.25">
      <c r="M51" s="24" t="s">
        <v>99</v>
      </c>
      <c r="N51" s="9">
        <v>1175000</v>
      </c>
      <c r="O51" s="22">
        <v>48</v>
      </c>
    </row>
    <row r="52" spans="13:15" x14ac:dyDescent="0.25">
      <c r="M52" s="24" t="s">
        <v>71</v>
      </c>
      <c r="N52" s="9">
        <v>475000</v>
      </c>
      <c r="O52" s="22">
        <v>32</v>
      </c>
    </row>
    <row r="53" spans="13:15" x14ac:dyDescent="0.25">
      <c r="M53" s="24" t="s">
        <v>8</v>
      </c>
      <c r="N53" s="9">
        <v>215000</v>
      </c>
      <c r="O53" s="22">
        <v>14</v>
      </c>
    </row>
    <row r="54" spans="13:15" x14ac:dyDescent="0.25">
      <c r="M54" s="24" t="s">
        <v>59</v>
      </c>
      <c r="N54" s="9">
        <v>150000</v>
      </c>
      <c r="O54" s="22">
        <v>11</v>
      </c>
    </row>
    <row r="55" spans="13:15" x14ac:dyDescent="0.25">
      <c r="M55" s="21" t="s">
        <v>179</v>
      </c>
      <c r="N55" s="9">
        <v>7005000</v>
      </c>
      <c r="O55" s="22">
        <v>121</v>
      </c>
    </row>
    <row r="56" spans="13:15" x14ac:dyDescent="0.25">
      <c r="M56" s="24" t="s">
        <v>99</v>
      </c>
      <c r="N56" s="9">
        <v>5830000</v>
      </c>
      <c r="O56" s="22">
        <v>51</v>
      </c>
    </row>
    <row r="57" spans="13:15" x14ac:dyDescent="0.25">
      <c r="M57" s="24" t="s">
        <v>71</v>
      </c>
      <c r="N57" s="9">
        <v>150000</v>
      </c>
      <c r="O57" s="22">
        <v>4</v>
      </c>
    </row>
    <row r="58" spans="13:15" x14ac:dyDescent="0.25">
      <c r="M58" s="24" t="s">
        <v>8</v>
      </c>
      <c r="N58" s="9">
        <v>435000</v>
      </c>
      <c r="O58" s="22">
        <v>26</v>
      </c>
    </row>
    <row r="59" spans="13:15" x14ac:dyDescent="0.25">
      <c r="M59" s="24" t="s">
        <v>59</v>
      </c>
      <c r="N59" s="9">
        <v>590000</v>
      </c>
      <c r="O59" s="22">
        <v>40</v>
      </c>
    </row>
    <row r="60" spans="13:15" x14ac:dyDescent="0.25">
      <c r="M60" s="21" t="s">
        <v>469</v>
      </c>
      <c r="N60" s="9">
        <v>150000</v>
      </c>
      <c r="O60" s="22">
        <v>19</v>
      </c>
    </row>
    <row r="61" spans="13:15" x14ac:dyDescent="0.25">
      <c r="M61" s="24" t="s">
        <v>71</v>
      </c>
      <c r="N61" s="9">
        <v>150000</v>
      </c>
      <c r="O61" s="22">
        <v>19</v>
      </c>
    </row>
  </sheetData>
  <pageMargins left="0.7" right="0.7" top="0.75" bottom="0.75" header="0.3" footer="0.3"/>
  <pageSetup orientation="portrait" r:id="rId1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101"/>
  <sheetViews>
    <sheetView workbookViewId="0">
      <pane ySplit="1" topLeftCell="A2" activePane="bottomLeft" state="frozen"/>
      <selection activeCell="E20" sqref="E20"/>
      <selection pane="bottomLeft" activeCell="F1" sqref="F1"/>
    </sheetView>
  </sheetViews>
  <sheetFormatPr defaultRowHeight="15" x14ac:dyDescent="0.25"/>
  <cols>
    <col min="1" max="1" width="15.5703125" style="7" customWidth="1"/>
    <col min="2" max="2" width="9.28515625" customWidth="1"/>
    <col min="3" max="3" width="14.7109375" customWidth="1"/>
    <col min="4" max="4" width="12.42578125" customWidth="1"/>
    <col min="5" max="5" width="12.140625" customWidth="1"/>
    <col min="6" max="6" width="16.42578125" style="9" bestFit="1" customWidth="1"/>
    <col min="7" max="7" width="16.42578125" style="9" customWidth="1"/>
    <col min="8" max="8" width="16.5703125" customWidth="1"/>
    <col min="9" max="9" width="19.42578125" customWidth="1"/>
  </cols>
  <sheetData>
    <row r="1" spans="1:9" x14ac:dyDescent="0.25">
      <c r="A1" s="12" t="s">
        <v>0</v>
      </c>
      <c r="B1" s="13" t="s">
        <v>1</v>
      </c>
      <c r="C1" s="13" t="s">
        <v>2</v>
      </c>
      <c r="D1" s="13" t="s">
        <v>3</v>
      </c>
      <c r="E1" s="13" t="s">
        <v>4</v>
      </c>
      <c r="F1" s="14" t="s">
        <v>5</v>
      </c>
      <c r="G1" s="14" t="s">
        <v>482</v>
      </c>
      <c r="H1" s="13" t="s">
        <v>6</v>
      </c>
      <c r="I1" s="15" t="s">
        <v>7</v>
      </c>
    </row>
    <row r="2" spans="1:9" x14ac:dyDescent="0.25">
      <c r="A2" s="10">
        <v>45783</v>
      </c>
      <c r="B2" s="1" t="s">
        <v>59</v>
      </c>
      <c r="C2" s="1" t="s">
        <v>477</v>
      </c>
      <c r="D2" s="1" t="s">
        <v>478</v>
      </c>
      <c r="E2" s="1">
        <v>10</v>
      </c>
      <c r="F2" s="8">
        <v>65000</v>
      </c>
      <c r="G2" s="8">
        <f>E2 *F2</f>
        <v>650000</v>
      </c>
      <c r="H2" s="1" t="s">
        <v>470</v>
      </c>
      <c r="I2" s="11" t="s">
        <v>490</v>
      </c>
    </row>
    <row r="3" spans="1:9" x14ac:dyDescent="0.25">
      <c r="A3" s="10">
        <v>45731</v>
      </c>
      <c r="B3" s="1" t="s">
        <v>8</v>
      </c>
      <c r="C3" s="1" t="s">
        <v>475</v>
      </c>
      <c r="D3" s="1" t="s">
        <v>226</v>
      </c>
      <c r="E3" s="1">
        <v>13</v>
      </c>
      <c r="F3" s="8">
        <v>85000</v>
      </c>
      <c r="G3" s="8">
        <f t="shared" ref="G3:G66" si="0">E3 *F3</f>
        <v>1105000</v>
      </c>
      <c r="H3" s="1" t="s">
        <v>74</v>
      </c>
      <c r="I3" s="11" t="s">
        <v>490</v>
      </c>
    </row>
    <row r="4" spans="1:9" x14ac:dyDescent="0.25">
      <c r="A4" s="10">
        <v>45835</v>
      </c>
      <c r="B4" s="1" t="s">
        <v>71</v>
      </c>
      <c r="C4" s="1" t="s">
        <v>475</v>
      </c>
      <c r="D4" s="1" t="s">
        <v>226</v>
      </c>
      <c r="E4" s="1">
        <v>6</v>
      </c>
      <c r="F4" s="8">
        <v>85000</v>
      </c>
      <c r="G4" s="8">
        <f t="shared" si="0"/>
        <v>510000</v>
      </c>
      <c r="H4" s="1" t="s">
        <v>74</v>
      </c>
      <c r="I4" s="11" t="s">
        <v>490</v>
      </c>
    </row>
    <row r="5" spans="1:9" x14ac:dyDescent="0.25">
      <c r="A5" s="10">
        <v>45688</v>
      </c>
      <c r="B5" s="1" t="s">
        <v>71</v>
      </c>
      <c r="C5" s="1" t="s">
        <v>119</v>
      </c>
      <c r="D5" s="1" t="s">
        <v>120</v>
      </c>
      <c r="E5" s="1">
        <v>20</v>
      </c>
      <c r="F5" s="8">
        <v>250000</v>
      </c>
      <c r="G5" s="8">
        <f t="shared" si="0"/>
        <v>5000000</v>
      </c>
      <c r="H5" s="1" t="s">
        <v>74</v>
      </c>
      <c r="I5" s="11" t="s">
        <v>63</v>
      </c>
    </row>
    <row r="6" spans="1:9" x14ac:dyDescent="0.25">
      <c r="A6" s="10">
        <v>45701</v>
      </c>
      <c r="B6" s="1" t="s">
        <v>59</v>
      </c>
      <c r="C6" s="1" t="s">
        <v>119</v>
      </c>
      <c r="D6" s="1" t="s">
        <v>165</v>
      </c>
      <c r="E6" s="1">
        <v>3</v>
      </c>
      <c r="F6" s="8">
        <v>350000</v>
      </c>
      <c r="G6" s="8">
        <f t="shared" si="0"/>
        <v>1050000</v>
      </c>
      <c r="H6" s="1" t="s">
        <v>74</v>
      </c>
      <c r="I6" s="11" t="s">
        <v>63</v>
      </c>
    </row>
    <row r="7" spans="1:9" x14ac:dyDescent="0.25">
      <c r="A7" s="10">
        <v>45789</v>
      </c>
      <c r="B7" s="1" t="s">
        <v>59</v>
      </c>
      <c r="C7" s="1" t="s">
        <v>119</v>
      </c>
      <c r="D7" s="1" t="s">
        <v>20</v>
      </c>
      <c r="E7" s="1">
        <v>9</v>
      </c>
      <c r="F7" s="8">
        <v>180000</v>
      </c>
      <c r="G7" s="8">
        <f t="shared" si="0"/>
        <v>1620000</v>
      </c>
      <c r="H7" s="1" t="s">
        <v>74</v>
      </c>
      <c r="I7" s="11" t="s">
        <v>63</v>
      </c>
    </row>
    <row r="8" spans="1:9" x14ac:dyDescent="0.25">
      <c r="A8" s="10">
        <v>45698</v>
      </c>
      <c r="B8" s="1" t="s">
        <v>59</v>
      </c>
      <c r="C8" s="1" t="s">
        <v>476</v>
      </c>
      <c r="D8" s="1" t="s">
        <v>20</v>
      </c>
      <c r="E8" s="1">
        <v>20</v>
      </c>
      <c r="F8" s="8">
        <v>150000</v>
      </c>
      <c r="G8" s="8">
        <f t="shared" si="0"/>
        <v>3000000</v>
      </c>
      <c r="H8" s="1" t="s">
        <v>74</v>
      </c>
      <c r="I8" s="11" t="s">
        <v>63</v>
      </c>
    </row>
    <row r="9" spans="1:9" x14ac:dyDescent="0.25">
      <c r="A9" s="10">
        <v>45687</v>
      </c>
      <c r="B9" s="1" t="s">
        <v>99</v>
      </c>
      <c r="C9" s="1" t="s">
        <v>476</v>
      </c>
      <c r="D9" s="1" t="s">
        <v>226</v>
      </c>
      <c r="E9" s="1">
        <v>7</v>
      </c>
      <c r="F9" s="8">
        <v>85000</v>
      </c>
      <c r="G9" s="8">
        <f t="shared" si="0"/>
        <v>595000</v>
      </c>
      <c r="H9" s="1" t="s">
        <v>74</v>
      </c>
      <c r="I9" s="11" t="s">
        <v>63</v>
      </c>
    </row>
    <row r="10" spans="1:9" x14ac:dyDescent="0.25">
      <c r="A10" s="10">
        <v>45685</v>
      </c>
      <c r="B10" s="1" t="s">
        <v>59</v>
      </c>
      <c r="C10" s="1" t="s">
        <v>473</v>
      </c>
      <c r="D10" s="1" t="s">
        <v>226</v>
      </c>
      <c r="E10" s="1">
        <v>10</v>
      </c>
      <c r="F10" s="8">
        <v>85000</v>
      </c>
      <c r="G10" s="8">
        <f t="shared" si="0"/>
        <v>850000</v>
      </c>
      <c r="H10" s="1" t="s">
        <v>74</v>
      </c>
      <c r="I10" s="11" t="s">
        <v>63</v>
      </c>
    </row>
    <row r="11" spans="1:9" x14ac:dyDescent="0.25">
      <c r="A11" s="10">
        <v>45762</v>
      </c>
      <c r="B11" s="1" t="s">
        <v>8</v>
      </c>
      <c r="C11" s="1" t="s">
        <v>474</v>
      </c>
      <c r="D11" s="1" t="s">
        <v>120</v>
      </c>
      <c r="E11" s="1">
        <v>5</v>
      </c>
      <c r="F11" s="8">
        <v>250000</v>
      </c>
      <c r="G11" s="8">
        <f t="shared" si="0"/>
        <v>1250000</v>
      </c>
      <c r="H11" s="1" t="s">
        <v>74</v>
      </c>
      <c r="I11" s="11" t="s">
        <v>63</v>
      </c>
    </row>
    <row r="12" spans="1:9" x14ac:dyDescent="0.25">
      <c r="A12" s="10">
        <v>45735</v>
      </c>
      <c r="B12" s="1" t="s">
        <v>8</v>
      </c>
      <c r="C12" s="1" t="s">
        <v>105</v>
      </c>
      <c r="D12" s="1" t="s">
        <v>20</v>
      </c>
      <c r="E12" s="1">
        <v>8</v>
      </c>
      <c r="F12" s="8">
        <v>150000</v>
      </c>
      <c r="G12" s="8">
        <f t="shared" si="0"/>
        <v>1200000</v>
      </c>
      <c r="H12" s="1" t="s">
        <v>74</v>
      </c>
      <c r="I12" s="11" t="s">
        <v>484</v>
      </c>
    </row>
    <row r="13" spans="1:9" x14ac:dyDescent="0.25">
      <c r="A13" s="10">
        <v>45663</v>
      </c>
      <c r="B13" s="1" t="s">
        <v>8</v>
      </c>
      <c r="C13" s="1" t="s">
        <v>105</v>
      </c>
      <c r="D13" s="1" t="s">
        <v>20</v>
      </c>
      <c r="E13" s="1">
        <v>4</v>
      </c>
      <c r="F13" s="8">
        <v>150000</v>
      </c>
      <c r="G13" s="8">
        <f t="shared" si="0"/>
        <v>600000</v>
      </c>
      <c r="H13" s="1" t="s">
        <v>74</v>
      </c>
      <c r="I13" s="11" t="s">
        <v>484</v>
      </c>
    </row>
    <row r="14" spans="1:9" x14ac:dyDescent="0.25">
      <c r="A14" s="10">
        <v>45810</v>
      </c>
      <c r="B14" s="1" t="s">
        <v>71</v>
      </c>
      <c r="C14" s="1" t="s">
        <v>105</v>
      </c>
      <c r="D14" s="1" t="s">
        <v>20</v>
      </c>
      <c r="E14" s="1">
        <v>1</v>
      </c>
      <c r="F14" s="8">
        <v>150000</v>
      </c>
      <c r="G14" s="8">
        <f t="shared" si="0"/>
        <v>150000</v>
      </c>
      <c r="H14" s="1" t="s">
        <v>74</v>
      </c>
      <c r="I14" s="11" t="s">
        <v>484</v>
      </c>
    </row>
    <row r="15" spans="1:9" x14ac:dyDescent="0.25">
      <c r="A15" s="10">
        <v>45669</v>
      </c>
      <c r="B15" s="1" t="s">
        <v>71</v>
      </c>
      <c r="C15" s="1" t="s">
        <v>477</v>
      </c>
      <c r="D15" s="1" t="s">
        <v>110</v>
      </c>
      <c r="E15" s="1">
        <v>10</v>
      </c>
      <c r="F15" s="8">
        <v>175000</v>
      </c>
      <c r="G15" s="8">
        <f t="shared" si="0"/>
        <v>1750000</v>
      </c>
      <c r="H15" s="1" t="s">
        <v>74</v>
      </c>
      <c r="I15" s="11" t="s">
        <v>484</v>
      </c>
    </row>
    <row r="16" spans="1:9" x14ac:dyDescent="0.25">
      <c r="A16" s="10">
        <v>45748</v>
      </c>
      <c r="B16" s="1" t="s">
        <v>59</v>
      </c>
      <c r="C16" s="1" t="s">
        <v>105</v>
      </c>
      <c r="D16" s="1" t="s">
        <v>20</v>
      </c>
      <c r="E16" s="1">
        <v>3</v>
      </c>
      <c r="F16" s="8">
        <v>150000</v>
      </c>
      <c r="G16" s="8">
        <f t="shared" si="0"/>
        <v>450000</v>
      </c>
      <c r="H16" s="1" t="s">
        <v>74</v>
      </c>
      <c r="I16" s="11" t="s">
        <v>484</v>
      </c>
    </row>
    <row r="17" spans="1:9" x14ac:dyDescent="0.25">
      <c r="A17" s="10">
        <v>45754</v>
      </c>
      <c r="B17" s="1" t="s">
        <v>8</v>
      </c>
      <c r="C17" s="1" t="s">
        <v>477</v>
      </c>
      <c r="D17" s="1" t="s">
        <v>478</v>
      </c>
      <c r="E17" s="1">
        <v>5</v>
      </c>
      <c r="F17" s="8">
        <v>65000</v>
      </c>
      <c r="G17" s="8">
        <f t="shared" si="0"/>
        <v>325000</v>
      </c>
      <c r="H17" s="1" t="s">
        <v>74</v>
      </c>
      <c r="I17" s="11" t="s">
        <v>484</v>
      </c>
    </row>
    <row r="18" spans="1:9" x14ac:dyDescent="0.25">
      <c r="A18" s="10">
        <v>45821</v>
      </c>
      <c r="B18" s="1" t="s">
        <v>8</v>
      </c>
      <c r="C18" s="1" t="s">
        <v>119</v>
      </c>
      <c r="D18" s="1" t="s">
        <v>120</v>
      </c>
      <c r="E18" s="1">
        <v>13</v>
      </c>
      <c r="F18" s="8">
        <v>250000</v>
      </c>
      <c r="G18" s="8">
        <f t="shared" si="0"/>
        <v>3250000</v>
      </c>
      <c r="H18" s="1" t="s">
        <v>116</v>
      </c>
      <c r="I18" s="11" t="s">
        <v>484</v>
      </c>
    </row>
    <row r="19" spans="1:9" x14ac:dyDescent="0.25">
      <c r="A19" s="10">
        <v>45707</v>
      </c>
      <c r="B19" s="1" t="s">
        <v>99</v>
      </c>
      <c r="C19" s="1" t="s">
        <v>119</v>
      </c>
      <c r="D19" s="1" t="s">
        <v>165</v>
      </c>
      <c r="E19" s="1">
        <v>13</v>
      </c>
      <c r="F19" s="8">
        <v>350000</v>
      </c>
      <c r="G19" s="8">
        <f t="shared" si="0"/>
        <v>4550000</v>
      </c>
      <c r="H19" s="1" t="s">
        <v>116</v>
      </c>
      <c r="I19" s="11" t="s">
        <v>484</v>
      </c>
    </row>
    <row r="20" spans="1:9" x14ac:dyDescent="0.25">
      <c r="A20" s="10">
        <v>45694</v>
      </c>
      <c r="B20" s="1" t="s">
        <v>59</v>
      </c>
      <c r="C20" s="1" t="s">
        <v>119</v>
      </c>
      <c r="D20" s="1" t="s">
        <v>165</v>
      </c>
      <c r="E20" s="1">
        <v>17</v>
      </c>
      <c r="F20" s="8">
        <v>350000</v>
      </c>
      <c r="G20" s="8">
        <f t="shared" si="0"/>
        <v>5950000</v>
      </c>
      <c r="H20" s="1" t="s">
        <v>116</v>
      </c>
      <c r="I20" s="11" t="s">
        <v>341</v>
      </c>
    </row>
    <row r="21" spans="1:9" x14ac:dyDescent="0.25">
      <c r="A21" s="10">
        <v>45710</v>
      </c>
      <c r="B21" s="1" t="s">
        <v>99</v>
      </c>
      <c r="C21" s="1" t="s">
        <v>476</v>
      </c>
      <c r="D21" s="1" t="s">
        <v>478</v>
      </c>
      <c r="E21" s="1">
        <v>11</v>
      </c>
      <c r="F21" s="8">
        <v>65000</v>
      </c>
      <c r="G21" s="8">
        <f t="shared" si="0"/>
        <v>715000</v>
      </c>
      <c r="H21" s="1" t="s">
        <v>116</v>
      </c>
      <c r="I21" s="11" t="s">
        <v>341</v>
      </c>
    </row>
    <row r="22" spans="1:9" x14ac:dyDescent="0.25">
      <c r="A22" s="10">
        <v>45803</v>
      </c>
      <c r="B22" s="1" t="s">
        <v>99</v>
      </c>
      <c r="C22" s="1" t="s">
        <v>473</v>
      </c>
      <c r="D22" s="1" t="s">
        <v>226</v>
      </c>
      <c r="E22" s="1">
        <v>2</v>
      </c>
      <c r="F22" s="8">
        <v>85000</v>
      </c>
      <c r="G22" s="8">
        <f t="shared" si="0"/>
        <v>170000</v>
      </c>
      <c r="H22" s="1" t="s">
        <v>116</v>
      </c>
      <c r="I22" s="11" t="s">
        <v>341</v>
      </c>
    </row>
    <row r="23" spans="1:9" x14ac:dyDescent="0.25">
      <c r="A23" s="10">
        <v>45713</v>
      </c>
      <c r="B23" s="1" t="s">
        <v>71</v>
      </c>
      <c r="C23" s="1" t="s">
        <v>474</v>
      </c>
      <c r="D23" s="1" t="s">
        <v>120</v>
      </c>
      <c r="E23" s="1">
        <v>14</v>
      </c>
      <c r="F23" s="8">
        <v>250000</v>
      </c>
      <c r="G23" s="8">
        <f t="shared" si="0"/>
        <v>3500000</v>
      </c>
      <c r="H23" s="1" t="s">
        <v>116</v>
      </c>
      <c r="I23" s="11" t="s">
        <v>341</v>
      </c>
    </row>
    <row r="24" spans="1:9" x14ac:dyDescent="0.25">
      <c r="A24" s="10">
        <v>45673</v>
      </c>
      <c r="B24" s="1" t="s">
        <v>71</v>
      </c>
      <c r="C24" s="1" t="s">
        <v>474</v>
      </c>
      <c r="D24" s="1" t="s">
        <v>165</v>
      </c>
      <c r="E24" s="1">
        <v>11</v>
      </c>
      <c r="F24" s="8">
        <v>350000</v>
      </c>
      <c r="G24" s="8">
        <f t="shared" si="0"/>
        <v>3850000</v>
      </c>
      <c r="H24" s="1" t="s">
        <v>116</v>
      </c>
      <c r="I24" s="11" t="s">
        <v>341</v>
      </c>
    </row>
    <row r="25" spans="1:9" x14ac:dyDescent="0.25">
      <c r="A25" s="10">
        <v>45673</v>
      </c>
      <c r="B25" s="1" t="s">
        <v>99</v>
      </c>
      <c r="C25" s="1" t="s">
        <v>474</v>
      </c>
      <c r="D25" s="1" t="s">
        <v>165</v>
      </c>
      <c r="E25" s="1">
        <v>18</v>
      </c>
      <c r="F25" s="8">
        <v>350000</v>
      </c>
      <c r="G25" s="8">
        <f t="shared" si="0"/>
        <v>6300000</v>
      </c>
      <c r="H25" s="1" t="s">
        <v>116</v>
      </c>
      <c r="I25" s="11" t="s">
        <v>341</v>
      </c>
    </row>
    <row r="26" spans="1:9" x14ac:dyDescent="0.25">
      <c r="A26" s="10">
        <v>45708</v>
      </c>
      <c r="B26" s="1" t="s">
        <v>59</v>
      </c>
      <c r="C26" s="1" t="s">
        <v>474</v>
      </c>
      <c r="D26" s="1" t="s">
        <v>165</v>
      </c>
      <c r="E26" s="1">
        <v>15</v>
      </c>
      <c r="F26" s="8">
        <v>350000</v>
      </c>
      <c r="G26" s="8">
        <f t="shared" si="0"/>
        <v>5250000</v>
      </c>
      <c r="H26" s="1" t="s">
        <v>116</v>
      </c>
      <c r="I26" s="11" t="s">
        <v>341</v>
      </c>
    </row>
    <row r="27" spans="1:9" x14ac:dyDescent="0.25">
      <c r="A27" s="10">
        <v>45776</v>
      </c>
      <c r="B27" s="1" t="s">
        <v>59</v>
      </c>
      <c r="C27" s="1" t="s">
        <v>105</v>
      </c>
      <c r="D27" s="1" t="s">
        <v>165</v>
      </c>
      <c r="E27" s="1">
        <v>14</v>
      </c>
      <c r="F27" s="8">
        <v>350000</v>
      </c>
      <c r="G27" s="8">
        <f t="shared" si="0"/>
        <v>4900000</v>
      </c>
      <c r="H27" s="1" t="s">
        <v>116</v>
      </c>
      <c r="I27" s="11" t="s">
        <v>341</v>
      </c>
    </row>
    <row r="28" spans="1:9" x14ac:dyDescent="0.25">
      <c r="A28" s="10">
        <v>45779</v>
      </c>
      <c r="B28" s="1" t="s">
        <v>59</v>
      </c>
      <c r="C28" s="1" t="s">
        <v>105</v>
      </c>
      <c r="D28" s="1" t="s">
        <v>20</v>
      </c>
      <c r="E28" s="1">
        <v>5</v>
      </c>
      <c r="F28" s="8">
        <v>150000</v>
      </c>
      <c r="G28" s="8">
        <f t="shared" si="0"/>
        <v>750000</v>
      </c>
      <c r="H28" s="1" t="s">
        <v>116</v>
      </c>
      <c r="I28" s="11" t="s">
        <v>483</v>
      </c>
    </row>
    <row r="29" spans="1:9" x14ac:dyDescent="0.25">
      <c r="A29" s="10">
        <v>45755</v>
      </c>
      <c r="B29" s="1" t="s">
        <v>99</v>
      </c>
      <c r="C29" s="1" t="s">
        <v>477</v>
      </c>
      <c r="D29" s="1" t="s">
        <v>478</v>
      </c>
      <c r="E29" s="1">
        <v>17</v>
      </c>
      <c r="F29" s="8">
        <v>65000</v>
      </c>
      <c r="G29" s="8">
        <f t="shared" si="0"/>
        <v>1105000</v>
      </c>
      <c r="H29" s="1" t="s">
        <v>116</v>
      </c>
      <c r="I29" s="11" t="s">
        <v>483</v>
      </c>
    </row>
    <row r="30" spans="1:9" x14ac:dyDescent="0.25">
      <c r="A30" s="10">
        <v>45690</v>
      </c>
      <c r="B30" s="1" t="s">
        <v>99</v>
      </c>
      <c r="C30" s="1" t="s">
        <v>477</v>
      </c>
      <c r="D30" s="1" t="s">
        <v>478</v>
      </c>
      <c r="E30" s="1">
        <v>11</v>
      </c>
      <c r="F30" s="8">
        <v>65000</v>
      </c>
      <c r="G30" s="8">
        <f t="shared" si="0"/>
        <v>715000</v>
      </c>
      <c r="H30" s="1" t="s">
        <v>116</v>
      </c>
      <c r="I30" s="11" t="s">
        <v>483</v>
      </c>
    </row>
    <row r="31" spans="1:9" x14ac:dyDescent="0.25">
      <c r="A31" s="10">
        <v>45694</v>
      </c>
      <c r="B31" s="1" t="s">
        <v>59</v>
      </c>
      <c r="C31" s="1" t="s">
        <v>477</v>
      </c>
      <c r="D31" s="1" t="s">
        <v>478</v>
      </c>
      <c r="E31" s="1">
        <v>18</v>
      </c>
      <c r="F31" s="8">
        <v>65000</v>
      </c>
      <c r="G31" s="8">
        <f t="shared" si="0"/>
        <v>1170000</v>
      </c>
      <c r="H31" s="1" t="s">
        <v>116</v>
      </c>
      <c r="I31" s="11" t="s">
        <v>483</v>
      </c>
    </row>
    <row r="32" spans="1:9" x14ac:dyDescent="0.25">
      <c r="A32" s="10">
        <v>45684</v>
      </c>
      <c r="B32" s="1" t="s">
        <v>8</v>
      </c>
      <c r="C32" s="1" t="s">
        <v>477</v>
      </c>
      <c r="D32" s="1" t="s">
        <v>478</v>
      </c>
      <c r="E32" s="1">
        <v>18</v>
      </c>
      <c r="F32" s="8">
        <v>65000</v>
      </c>
      <c r="G32" s="8">
        <f t="shared" si="0"/>
        <v>1170000</v>
      </c>
      <c r="H32" s="1" t="s">
        <v>116</v>
      </c>
      <c r="I32" s="11" t="s">
        <v>483</v>
      </c>
    </row>
    <row r="33" spans="1:9" x14ac:dyDescent="0.25">
      <c r="A33" s="10">
        <v>45694</v>
      </c>
      <c r="B33" s="1" t="s">
        <v>8</v>
      </c>
      <c r="C33" s="1" t="s">
        <v>477</v>
      </c>
      <c r="D33" s="1" t="s">
        <v>110</v>
      </c>
      <c r="E33" s="1">
        <v>5</v>
      </c>
      <c r="F33" s="8">
        <v>175000</v>
      </c>
      <c r="G33" s="8">
        <f t="shared" si="0"/>
        <v>875000</v>
      </c>
      <c r="H33" s="1" t="s">
        <v>116</v>
      </c>
      <c r="I33" s="11" t="s">
        <v>483</v>
      </c>
    </row>
    <row r="34" spans="1:9" x14ac:dyDescent="0.25">
      <c r="A34" s="10">
        <v>45670</v>
      </c>
      <c r="B34" s="1" t="s">
        <v>59</v>
      </c>
      <c r="C34" s="1" t="s">
        <v>477</v>
      </c>
      <c r="D34" s="1" t="s">
        <v>110</v>
      </c>
      <c r="E34" s="1">
        <v>12</v>
      </c>
      <c r="F34" s="8">
        <v>175000</v>
      </c>
      <c r="G34" s="8">
        <f t="shared" si="0"/>
        <v>2100000</v>
      </c>
      <c r="H34" s="1" t="s">
        <v>116</v>
      </c>
      <c r="I34" s="11" t="s">
        <v>483</v>
      </c>
    </row>
    <row r="35" spans="1:9" x14ac:dyDescent="0.25">
      <c r="A35" s="10">
        <v>45707</v>
      </c>
      <c r="B35" s="1" t="s">
        <v>59</v>
      </c>
      <c r="C35" s="1" t="s">
        <v>105</v>
      </c>
      <c r="D35" s="1" t="s">
        <v>20</v>
      </c>
      <c r="E35" s="1">
        <v>10</v>
      </c>
      <c r="F35" s="8">
        <v>150000</v>
      </c>
      <c r="G35" s="8">
        <f t="shared" si="0"/>
        <v>1500000</v>
      </c>
      <c r="H35" s="1" t="s">
        <v>116</v>
      </c>
      <c r="I35" s="11" t="s">
        <v>260</v>
      </c>
    </row>
    <row r="36" spans="1:9" x14ac:dyDescent="0.25">
      <c r="A36" s="10">
        <v>45688</v>
      </c>
      <c r="B36" s="1" t="s">
        <v>99</v>
      </c>
      <c r="C36" s="1" t="s">
        <v>475</v>
      </c>
      <c r="D36" s="1" t="s">
        <v>20</v>
      </c>
      <c r="E36" s="1">
        <v>20</v>
      </c>
      <c r="F36" s="8">
        <v>150000</v>
      </c>
      <c r="G36" s="8">
        <f t="shared" si="0"/>
        <v>3000000</v>
      </c>
      <c r="H36" s="1" t="s">
        <v>319</v>
      </c>
      <c r="I36" s="11" t="s">
        <v>260</v>
      </c>
    </row>
    <row r="37" spans="1:9" x14ac:dyDescent="0.25">
      <c r="A37" s="10">
        <v>45712</v>
      </c>
      <c r="B37" s="1" t="s">
        <v>99</v>
      </c>
      <c r="C37" s="1" t="s">
        <v>475</v>
      </c>
      <c r="D37" s="1" t="s">
        <v>20</v>
      </c>
      <c r="E37" s="1">
        <v>20</v>
      </c>
      <c r="F37" s="8">
        <v>150000</v>
      </c>
      <c r="G37" s="8">
        <f t="shared" si="0"/>
        <v>3000000</v>
      </c>
      <c r="H37" s="1" t="s">
        <v>319</v>
      </c>
      <c r="I37" s="11" t="s">
        <v>260</v>
      </c>
    </row>
    <row r="38" spans="1:9" x14ac:dyDescent="0.25">
      <c r="A38" s="10">
        <v>45753</v>
      </c>
      <c r="B38" s="1" t="s">
        <v>99</v>
      </c>
      <c r="C38" s="1" t="s">
        <v>119</v>
      </c>
      <c r="D38" s="1" t="s">
        <v>120</v>
      </c>
      <c r="E38" s="1">
        <v>11</v>
      </c>
      <c r="F38" s="8">
        <v>250000</v>
      </c>
      <c r="G38" s="8">
        <f t="shared" si="0"/>
        <v>2750000</v>
      </c>
      <c r="H38" s="1" t="s">
        <v>319</v>
      </c>
      <c r="I38" s="11" t="s">
        <v>260</v>
      </c>
    </row>
    <row r="39" spans="1:9" x14ac:dyDescent="0.25">
      <c r="A39" s="10">
        <v>45823</v>
      </c>
      <c r="B39" s="1" t="s">
        <v>8</v>
      </c>
      <c r="C39" s="1" t="s">
        <v>119</v>
      </c>
      <c r="D39" s="1" t="s">
        <v>120</v>
      </c>
      <c r="E39" s="1">
        <v>20</v>
      </c>
      <c r="F39" s="8">
        <v>250000</v>
      </c>
      <c r="G39" s="8">
        <f t="shared" si="0"/>
        <v>5000000</v>
      </c>
      <c r="H39" s="1" t="s">
        <v>319</v>
      </c>
      <c r="I39" s="11" t="s">
        <v>260</v>
      </c>
    </row>
    <row r="40" spans="1:9" x14ac:dyDescent="0.25">
      <c r="A40" s="10">
        <v>45753</v>
      </c>
      <c r="B40" s="1" t="s">
        <v>8</v>
      </c>
      <c r="C40" s="1" t="s">
        <v>476</v>
      </c>
      <c r="D40" s="1" t="s">
        <v>20</v>
      </c>
      <c r="E40" s="1">
        <v>18</v>
      </c>
      <c r="F40" s="8">
        <v>150000</v>
      </c>
      <c r="G40" s="8">
        <f t="shared" si="0"/>
        <v>2700000</v>
      </c>
      <c r="H40" s="1" t="s">
        <v>319</v>
      </c>
      <c r="I40" s="11" t="s">
        <v>260</v>
      </c>
    </row>
    <row r="41" spans="1:9" x14ac:dyDescent="0.25">
      <c r="A41" s="10">
        <v>45695</v>
      </c>
      <c r="B41" s="1" t="s">
        <v>8</v>
      </c>
      <c r="C41" s="1" t="s">
        <v>476</v>
      </c>
      <c r="D41" s="1" t="s">
        <v>478</v>
      </c>
      <c r="E41" s="1">
        <v>13</v>
      </c>
      <c r="F41" s="8">
        <v>65000</v>
      </c>
      <c r="G41" s="8">
        <f t="shared" si="0"/>
        <v>845000</v>
      </c>
      <c r="H41" s="1" t="s">
        <v>319</v>
      </c>
      <c r="I41" s="11" t="s">
        <v>260</v>
      </c>
    </row>
    <row r="42" spans="1:9" x14ac:dyDescent="0.25">
      <c r="A42" s="10">
        <v>45714</v>
      </c>
      <c r="B42" s="1" t="s">
        <v>8</v>
      </c>
      <c r="C42" s="1" t="s">
        <v>476</v>
      </c>
      <c r="D42" s="1" t="s">
        <v>226</v>
      </c>
      <c r="E42" s="1">
        <v>6</v>
      </c>
      <c r="F42" s="8">
        <v>85000</v>
      </c>
      <c r="G42" s="8">
        <f t="shared" si="0"/>
        <v>510000</v>
      </c>
      <c r="H42" s="1" t="s">
        <v>319</v>
      </c>
      <c r="I42" s="11" t="s">
        <v>260</v>
      </c>
    </row>
    <row r="43" spans="1:9" x14ac:dyDescent="0.25">
      <c r="A43" s="10">
        <v>45708</v>
      </c>
      <c r="B43" s="1" t="s">
        <v>8</v>
      </c>
      <c r="C43" s="1" t="s">
        <v>474</v>
      </c>
      <c r="D43" s="1" t="s">
        <v>165</v>
      </c>
      <c r="E43" s="1">
        <v>13</v>
      </c>
      <c r="F43" s="8">
        <v>350000</v>
      </c>
      <c r="G43" s="8">
        <f t="shared" si="0"/>
        <v>4550000</v>
      </c>
      <c r="H43" s="1" t="s">
        <v>319</v>
      </c>
      <c r="I43" s="11" t="s">
        <v>260</v>
      </c>
    </row>
    <row r="44" spans="1:9" x14ac:dyDescent="0.25">
      <c r="A44" s="10">
        <v>45690</v>
      </c>
      <c r="B44" s="1" t="s">
        <v>59</v>
      </c>
      <c r="C44" s="1" t="s">
        <v>105</v>
      </c>
      <c r="D44" s="1" t="s">
        <v>20</v>
      </c>
      <c r="E44" s="1">
        <v>14</v>
      </c>
      <c r="F44" s="8">
        <v>150000</v>
      </c>
      <c r="G44" s="8">
        <f t="shared" si="0"/>
        <v>2100000</v>
      </c>
      <c r="H44" s="1" t="s">
        <v>319</v>
      </c>
      <c r="I44" s="11" t="s">
        <v>260</v>
      </c>
    </row>
    <row r="45" spans="1:9" x14ac:dyDescent="0.25">
      <c r="A45" s="10">
        <v>45755</v>
      </c>
      <c r="B45" s="1" t="s">
        <v>8</v>
      </c>
      <c r="C45" s="1" t="s">
        <v>105</v>
      </c>
      <c r="D45" s="1" t="s">
        <v>20</v>
      </c>
      <c r="E45" s="1">
        <v>17</v>
      </c>
      <c r="F45" s="8">
        <v>150000</v>
      </c>
      <c r="G45" s="8">
        <f t="shared" si="0"/>
        <v>2550000</v>
      </c>
      <c r="H45" s="1" t="s">
        <v>319</v>
      </c>
      <c r="I45" s="11" t="s">
        <v>260</v>
      </c>
    </row>
    <row r="46" spans="1:9" x14ac:dyDescent="0.25">
      <c r="A46" s="10">
        <v>45790</v>
      </c>
      <c r="B46" s="1" t="s">
        <v>59</v>
      </c>
      <c r="C46" s="1" t="s">
        <v>105</v>
      </c>
      <c r="D46" s="1" t="s">
        <v>20</v>
      </c>
      <c r="E46" s="1">
        <v>12</v>
      </c>
      <c r="F46" s="8">
        <v>150000</v>
      </c>
      <c r="G46" s="8">
        <f t="shared" si="0"/>
        <v>1800000</v>
      </c>
      <c r="H46" s="1" t="s">
        <v>319</v>
      </c>
      <c r="I46" s="11" t="s">
        <v>260</v>
      </c>
    </row>
    <row r="47" spans="1:9" x14ac:dyDescent="0.25">
      <c r="A47" s="10">
        <v>45782</v>
      </c>
      <c r="B47" s="1" t="s">
        <v>71</v>
      </c>
      <c r="C47" s="1" t="s">
        <v>477</v>
      </c>
      <c r="D47" s="1" t="s">
        <v>110</v>
      </c>
      <c r="E47" s="1">
        <v>14</v>
      </c>
      <c r="F47" s="8">
        <v>175000</v>
      </c>
      <c r="G47" s="8">
        <f t="shared" si="0"/>
        <v>2450000</v>
      </c>
      <c r="H47" s="1" t="s">
        <v>319</v>
      </c>
      <c r="I47" s="11" t="s">
        <v>260</v>
      </c>
    </row>
    <row r="48" spans="1:9" x14ac:dyDescent="0.25">
      <c r="A48" s="10">
        <v>45798</v>
      </c>
      <c r="B48" s="1" t="s">
        <v>99</v>
      </c>
      <c r="C48" s="1" t="s">
        <v>477</v>
      </c>
      <c r="D48" s="1" t="s">
        <v>110</v>
      </c>
      <c r="E48" s="1">
        <v>10</v>
      </c>
      <c r="F48" s="8">
        <v>175000</v>
      </c>
      <c r="G48" s="8">
        <f t="shared" si="0"/>
        <v>1750000</v>
      </c>
      <c r="H48" s="1" t="s">
        <v>319</v>
      </c>
      <c r="I48" s="11" t="s">
        <v>487</v>
      </c>
    </row>
    <row r="49" spans="1:9" x14ac:dyDescent="0.25">
      <c r="A49" s="10">
        <v>45686</v>
      </c>
      <c r="B49" s="1" t="s">
        <v>71</v>
      </c>
      <c r="C49" s="1" t="s">
        <v>473</v>
      </c>
      <c r="D49" s="1" t="s">
        <v>226</v>
      </c>
      <c r="E49" s="1">
        <v>7</v>
      </c>
      <c r="F49" s="8">
        <v>89233</v>
      </c>
      <c r="G49" s="8">
        <f t="shared" si="0"/>
        <v>624631</v>
      </c>
      <c r="H49" s="1" t="s">
        <v>319</v>
      </c>
      <c r="I49" s="11" t="s">
        <v>487</v>
      </c>
    </row>
    <row r="50" spans="1:9" x14ac:dyDescent="0.25">
      <c r="A50" s="10">
        <v>45757</v>
      </c>
      <c r="B50" s="1" t="s">
        <v>99</v>
      </c>
      <c r="C50" s="1" t="s">
        <v>475</v>
      </c>
      <c r="D50" s="1" t="s">
        <v>226</v>
      </c>
      <c r="E50" s="1">
        <v>11</v>
      </c>
      <c r="F50" s="8">
        <v>85000</v>
      </c>
      <c r="G50" s="8">
        <f t="shared" si="0"/>
        <v>935000</v>
      </c>
      <c r="H50" s="1" t="s">
        <v>479</v>
      </c>
      <c r="I50" s="11" t="s">
        <v>487</v>
      </c>
    </row>
    <row r="51" spans="1:9" x14ac:dyDescent="0.25">
      <c r="A51" s="10">
        <v>45693</v>
      </c>
      <c r="B51" s="1" t="s">
        <v>8</v>
      </c>
      <c r="C51" s="1" t="s">
        <v>119</v>
      </c>
      <c r="D51" s="1" t="s">
        <v>120</v>
      </c>
      <c r="E51" s="1">
        <v>19</v>
      </c>
      <c r="F51" s="8">
        <v>250000</v>
      </c>
      <c r="G51" s="8">
        <f t="shared" si="0"/>
        <v>4750000</v>
      </c>
      <c r="H51" s="1" t="s">
        <v>479</v>
      </c>
      <c r="I51" s="11" t="s">
        <v>487</v>
      </c>
    </row>
    <row r="52" spans="1:9" x14ac:dyDescent="0.25">
      <c r="A52" s="10">
        <v>45671</v>
      </c>
      <c r="B52" s="1" t="s">
        <v>59</v>
      </c>
      <c r="C52" s="1" t="s">
        <v>476</v>
      </c>
      <c r="D52" s="1" t="s">
        <v>478</v>
      </c>
      <c r="E52" s="1">
        <v>19</v>
      </c>
      <c r="F52" s="8">
        <v>65000</v>
      </c>
      <c r="G52" s="8">
        <f t="shared" si="0"/>
        <v>1235000</v>
      </c>
      <c r="H52" s="1" t="s">
        <v>479</v>
      </c>
      <c r="I52" s="11" t="s">
        <v>487</v>
      </c>
    </row>
    <row r="53" spans="1:9" x14ac:dyDescent="0.25">
      <c r="A53" s="10">
        <v>45740</v>
      </c>
      <c r="B53" s="1" t="s">
        <v>59</v>
      </c>
      <c r="C53" s="1" t="s">
        <v>476</v>
      </c>
      <c r="D53" s="1" t="s">
        <v>478</v>
      </c>
      <c r="E53" s="1">
        <v>18</v>
      </c>
      <c r="F53" s="8">
        <v>65000</v>
      </c>
      <c r="G53" s="8">
        <f t="shared" si="0"/>
        <v>1170000</v>
      </c>
      <c r="H53" s="1" t="s">
        <v>479</v>
      </c>
      <c r="I53" s="11" t="s">
        <v>487</v>
      </c>
    </row>
    <row r="54" spans="1:9" x14ac:dyDescent="0.25">
      <c r="A54" s="10">
        <v>45784</v>
      </c>
      <c r="B54" s="1" t="s">
        <v>71</v>
      </c>
      <c r="C54" s="1" t="s">
        <v>473</v>
      </c>
      <c r="D54" s="1" t="s">
        <v>226</v>
      </c>
      <c r="E54" s="1">
        <v>5</v>
      </c>
      <c r="F54" s="8">
        <v>85000</v>
      </c>
      <c r="G54" s="8">
        <f t="shared" si="0"/>
        <v>425000</v>
      </c>
      <c r="H54" s="1" t="s">
        <v>479</v>
      </c>
      <c r="I54" s="11" t="s">
        <v>485</v>
      </c>
    </row>
    <row r="55" spans="1:9" x14ac:dyDescent="0.25">
      <c r="A55" s="10">
        <v>45724</v>
      </c>
      <c r="B55" s="1" t="s">
        <v>71</v>
      </c>
      <c r="C55" s="1" t="s">
        <v>473</v>
      </c>
      <c r="D55" s="1" t="s">
        <v>120</v>
      </c>
      <c r="E55" s="1">
        <v>20</v>
      </c>
      <c r="F55" s="8">
        <v>2500000</v>
      </c>
      <c r="G55" s="8">
        <f t="shared" si="0"/>
        <v>50000000</v>
      </c>
      <c r="H55" s="1" t="s">
        <v>479</v>
      </c>
      <c r="I55" s="11" t="s">
        <v>485</v>
      </c>
    </row>
    <row r="56" spans="1:9" x14ac:dyDescent="0.25">
      <c r="A56" s="10">
        <v>45825</v>
      </c>
      <c r="B56" s="1" t="s">
        <v>99</v>
      </c>
      <c r="C56" s="1" t="s">
        <v>474</v>
      </c>
      <c r="D56" s="1" t="s">
        <v>165</v>
      </c>
      <c r="E56" s="1">
        <v>14</v>
      </c>
      <c r="F56" s="8">
        <v>350000</v>
      </c>
      <c r="G56" s="8">
        <f t="shared" si="0"/>
        <v>4900000</v>
      </c>
      <c r="H56" s="1" t="s">
        <v>479</v>
      </c>
      <c r="I56" s="11" t="s">
        <v>485</v>
      </c>
    </row>
    <row r="57" spans="1:9" x14ac:dyDescent="0.25">
      <c r="A57" s="10">
        <v>45719</v>
      </c>
      <c r="B57" s="1" t="s">
        <v>99</v>
      </c>
      <c r="C57" s="1" t="s">
        <v>105</v>
      </c>
      <c r="D57" s="1" t="s">
        <v>20</v>
      </c>
      <c r="E57" s="1">
        <v>1</v>
      </c>
      <c r="F57" s="8">
        <v>150000</v>
      </c>
      <c r="G57" s="8">
        <f t="shared" si="0"/>
        <v>150000</v>
      </c>
      <c r="H57" s="1" t="s">
        <v>479</v>
      </c>
      <c r="I57" s="11" t="s">
        <v>485</v>
      </c>
    </row>
    <row r="58" spans="1:9" x14ac:dyDescent="0.25">
      <c r="A58" s="10">
        <v>45714</v>
      </c>
      <c r="B58" s="1" t="s">
        <v>8</v>
      </c>
      <c r="C58" s="1" t="s">
        <v>105</v>
      </c>
      <c r="D58" s="1" t="s">
        <v>20</v>
      </c>
      <c r="E58" s="1">
        <v>13</v>
      </c>
      <c r="F58" s="8">
        <v>150000</v>
      </c>
      <c r="G58" s="8">
        <f t="shared" si="0"/>
        <v>1950000</v>
      </c>
      <c r="H58" s="1" t="s">
        <v>479</v>
      </c>
      <c r="I58" s="11" t="s">
        <v>485</v>
      </c>
    </row>
    <row r="59" spans="1:9" x14ac:dyDescent="0.25">
      <c r="A59" s="10">
        <v>45802</v>
      </c>
      <c r="B59" s="1" t="s">
        <v>99</v>
      </c>
      <c r="C59" s="1" t="s">
        <v>105</v>
      </c>
      <c r="D59" s="1" t="s">
        <v>20</v>
      </c>
      <c r="E59" s="1">
        <v>1</v>
      </c>
      <c r="F59" s="8">
        <v>150000</v>
      </c>
      <c r="G59" s="8">
        <f t="shared" si="0"/>
        <v>150000</v>
      </c>
      <c r="H59" s="1" t="s">
        <v>479</v>
      </c>
      <c r="I59" s="11" t="s">
        <v>485</v>
      </c>
    </row>
    <row r="60" spans="1:9" x14ac:dyDescent="0.25">
      <c r="A60" s="10">
        <v>45661</v>
      </c>
      <c r="B60" s="1" t="s">
        <v>59</v>
      </c>
      <c r="C60" s="1" t="s">
        <v>477</v>
      </c>
      <c r="D60" s="1" t="s">
        <v>110</v>
      </c>
      <c r="E60" s="1">
        <v>3</v>
      </c>
      <c r="F60" s="8">
        <v>175000</v>
      </c>
      <c r="G60" s="8">
        <f t="shared" si="0"/>
        <v>525000</v>
      </c>
      <c r="H60" s="1" t="s">
        <v>479</v>
      </c>
      <c r="I60" s="11" t="s">
        <v>485</v>
      </c>
    </row>
    <row r="61" spans="1:9" x14ac:dyDescent="0.25">
      <c r="A61" s="10">
        <v>45825</v>
      </c>
      <c r="B61" s="1" t="s">
        <v>8</v>
      </c>
      <c r="C61" s="1" t="s">
        <v>477</v>
      </c>
      <c r="D61" s="1" t="s">
        <v>110</v>
      </c>
      <c r="E61" s="1">
        <v>18</v>
      </c>
      <c r="F61" s="8">
        <v>175000</v>
      </c>
      <c r="G61" s="8">
        <f t="shared" si="0"/>
        <v>3150000</v>
      </c>
      <c r="H61" s="1" t="s">
        <v>479</v>
      </c>
      <c r="I61" s="11" t="s">
        <v>485</v>
      </c>
    </row>
    <row r="62" spans="1:9" x14ac:dyDescent="0.25">
      <c r="A62" s="10">
        <v>45663</v>
      </c>
      <c r="B62" s="1" t="s">
        <v>71</v>
      </c>
      <c r="C62" s="1" t="s">
        <v>119</v>
      </c>
      <c r="D62" s="1" t="s">
        <v>120</v>
      </c>
      <c r="E62" s="1">
        <v>13</v>
      </c>
      <c r="F62" s="8">
        <v>250000</v>
      </c>
      <c r="G62" s="8">
        <f t="shared" si="0"/>
        <v>3250000</v>
      </c>
      <c r="H62" s="1" t="s">
        <v>479</v>
      </c>
      <c r="I62" s="11" t="s">
        <v>131</v>
      </c>
    </row>
    <row r="63" spans="1:9" x14ac:dyDescent="0.25">
      <c r="A63" s="10">
        <v>45820</v>
      </c>
      <c r="B63" s="1" t="s">
        <v>99</v>
      </c>
      <c r="C63" s="1" t="s">
        <v>476</v>
      </c>
      <c r="D63" s="1" t="s">
        <v>20</v>
      </c>
      <c r="E63" s="1">
        <v>18</v>
      </c>
      <c r="F63" s="8">
        <v>150000</v>
      </c>
      <c r="G63" s="8">
        <f t="shared" si="0"/>
        <v>2700000</v>
      </c>
      <c r="H63" s="1" t="s">
        <v>479</v>
      </c>
      <c r="I63" s="11" t="s">
        <v>131</v>
      </c>
    </row>
    <row r="64" spans="1:9" x14ac:dyDescent="0.25">
      <c r="A64" s="10">
        <v>45742</v>
      </c>
      <c r="B64" s="1" t="s">
        <v>99</v>
      </c>
      <c r="C64" s="1" t="s">
        <v>474</v>
      </c>
      <c r="D64" s="1" t="s">
        <v>165</v>
      </c>
      <c r="E64" s="1">
        <v>4</v>
      </c>
      <c r="F64" s="8">
        <v>350000</v>
      </c>
      <c r="G64" s="8">
        <f t="shared" si="0"/>
        <v>1400000</v>
      </c>
      <c r="H64" s="1" t="s">
        <v>479</v>
      </c>
      <c r="I64" s="11" t="s">
        <v>131</v>
      </c>
    </row>
    <row r="65" spans="1:9" x14ac:dyDescent="0.25">
      <c r="A65" s="10">
        <v>45788</v>
      </c>
      <c r="B65" s="1" t="s">
        <v>99</v>
      </c>
      <c r="C65" s="1" t="s">
        <v>475</v>
      </c>
      <c r="D65" s="1" t="s">
        <v>120</v>
      </c>
      <c r="E65" s="1">
        <v>20</v>
      </c>
      <c r="F65" s="8">
        <v>250000</v>
      </c>
      <c r="G65" s="8">
        <f t="shared" si="0"/>
        <v>5000000</v>
      </c>
      <c r="H65" s="1" t="s">
        <v>481</v>
      </c>
      <c r="I65" s="11" t="s">
        <v>131</v>
      </c>
    </row>
    <row r="66" spans="1:9" x14ac:dyDescent="0.25">
      <c r="A66" s="10">
        <v>45837</v>
      </c>
      <c r="B66" s="1" t="s">
        <v>71</v>
      </c>
      <c r="C66" s="1" t="s">
        <v>475</v>
      </c>
      <c r="D66" s="1" t="s">
        <v>478</v>
      </c>
      <c r="E66" s="1">
        <v>18</v>
      </c>
      <c r="F66" s="8">
        <v>65000</v>
      </c>
      <c r="G66" s="8">
        <f t="shared" si="0"/>
        <v>1170000</v>
      </c>
      <c r="H66" s="1" t="s">
        <v>480</v>
      </c>
      <c r="I66" s="11" t="s">
        <v>131</v>
      </c>
    </row>
    <row r="67" spans="1:9" x14ac:dyDescent="0.25">
      <c r="A67" s="10">
        <v>45704</v>
      </c>
      <c r="B67" s="1" t="s">
        <v>99</v>
      </c>
      <c r="C67" s="1" t="s">
        <v>475</v>
      </c>
      <c r="D67" s="1" t="s">
        <v>226</v>
      </c>
      <c r="E67" s="1">
        <v>2</v>
      </c>
      <c r="F67" s="8">
        <v>85000</v>
      </c>
      <c r="G67" s="8">
        <f t="shared" ref="G67:G101" si="1">E67 *F67</f>
        <v>170000</v>
      </c>
      <c r="H67" s="1" t="s">
        <v>480</v>
      </c>
      <c r="I67" s="11" t="s">
        <v>131</v>
      </c>
    </row>
    <row r="68" spans="1:9" x14ac:dyDescent="0.25">
      <c r="A68" s="10">
        <v>45693</v>
      </c>
      <c r="B68" s="1" t="s">
        <v>8</v>
      </c>
      <c r="C68" s="1" t="s">
        <v>119</v>
      </c>
      <c r="D68" s="1" t="s">
        <v>165</v>
      </c>
      <c r="E68" s="1">
        <v>8</v>
      </c>
      <c r="F68" s="8">
        <v>350000</v>
      </c>
      <c r="G68" s="8">
        <f t="shared" si="1"/>
        <v>2800000</v>
      </c>
      <c r="H68" s="1" t="s">
        <v>480</v>
      </c>
      <c r="I68" s="11" t="s">
        <v>17</v>
      </c>
    </row>
    <row r="69" spans="1:9" x14ac:dyDescent="0.25">
      <c r="A69" s="10">
        <v>45794</v>
      </c>
      <c r="B69" s="1" t="s">
        <v>8</v>
      </c>
      <c r="C69" s="1" t="s">
        <v>476</v>
      </c>
      <c r="D69" s="1" t="s">
        <v>20</v>
      </c>
      <c r="E69" s="1">
        <v>16</v>
      </c>
      <c r="F69" s="8">
        <v>150000</v>
      </c>
      <c r="G69" s="8">
        <f t="shared" si="1"/>
        <v>2400000</v>
      </c>
      <c r="H69" s="1" t="s">
        <v>480</v>
      </c>
      <c r="I69" s="11" t="s">
        <v>17</v>
      </c>
    </row>
    <row r="70" spans="1:9" x14ac:dyDescent="0.25">
      <c r="A70" s="10">
        <v>45671</v>
      </c>
      <c r="B70" s="1" t="s">
        <v>59</v>
      </c>
      <c r="C70" s="1" t="s">
        <v>476</v>
      </c>
      <c r="D70" s="1" t="s">
        <v>226</v>
      </c>
      <c r="E70" s="1">
        <v>18</v>
      </c>
      <c r="F70" s="8">
        <v>85000</v>
      </c>
      <c r="G70" s="8">
        <f t="shared" si="1"/>
        <v>1530000</v>
      </c>
      <c r="H70" s="1" t="s">
        <v>480</v>
      </c>
      <c r="I70" s="11" t="s">
        <v>17</v>
      </c>
    </row>
    <row r="71" spans="1:9" x14ac:dyDescent="0.25">
      <c r="A71" s="10">
        <v>45809</v>
      </c>
      <c r="B71" s="1" t="s">
        <v>99</v>
      </c>
      <c r="C71" s="1" t="s">
        <v>474</v>
      </c>
      <c r="D71" s="1" t="s">
        <v>165</v>
      </c>
      <c r="E71" s="1">
        <v>6</v>
      </c>
      <c r="F71" s="8">
        <v>350000</v>
      </c>
      <c r="G71" s="8">
        <f t="shared" si="1"/>
        <v>2100000</v>
      </c>
      <c r="H71" s="1" t="s">
        <v>480</v>
      </c>
      <c r="I71" s="11" t="s">
        <v>17</v>
      </c>
    </row>
    <row r="72" spans="1:9" x14ac:dyDescent="0.25">
      <c r="A72" s="10">
        <v>45740</v>
      </c>
      <c r="B72" s="1" t="s">
        <v>99</v>
      </c>
      <c r="C72" s="1" t="s">
        <v>105</v>
      </c>
      <c r="D72" s="1" t="s">
        <v>20</v>
      </c>
      <c r="E72" s="1">
        <v>19</v>
      </c>
      <c r="F72" s="8">
        <v>150000</v>
      </c>
      <c r="G72" s="8">
        <f t="shared" si="1"/>
        <v>2850000</v>
      </c>
      <c r="H72" s="1" t="s">
        <v>480</v>
      </c>
      <c r="I72" s="11" t="s">
        <v>17</v>
      </c>
    </row>
    <row r="73" spans="1:9" x14ac:dyDescent="0.25">
      <c r="A73" s="10">
        <v>45811</v>
      </c>
      <c r="B73" s="1" t="s">
        <v>71</v>
      </c>
      <c r="C73" s="1" t="s">
        <v>105</v>
      </c>
      <c r="D73" s="1" t="s">
        <v>20</v>
      </c>
      <c r="E73" s="1">
        <v>8</v>
      </c>
      <c r="F73" s="8">
        <v>150000</v>
      </c>
      <c r="G73" s="8">
        <f t="shared" si="1"/>
        <v>1200000</v>
      </c>
      <c r="H73" s="1" t="s">
        <v>480</v>
      </c>
      <c r="I73" s="11" t="s">
        <v>17</v>
      </c>
    </row>
    <row r="74" spans="1:9" x14ac:dyDescent="0.25">
      <c r="A74" s="10">
        <v>45815</v>
      </c>
      <c r="B74" s="1" t="s">
        <v>8</v>
      </c>
      <c r="C74" s="1" t="s">
        <v>477</v>
      </c>
      <c r="D74" s="1" t="s">
        <v>110</v>
      </c>
      <c r="E74" s="1">
        <v>17</v>
      </c>
      <c r="F74" s="8">
        <v>175000</v>
      </c>
      <c r="G74" s="8">
        <f t="shared" si="1"/>
        <v>2975000</v>
      </c>
      <c r="H74" s="1" t="s">
        <v>480</v>
      </c>
      <c r="I74" s="11" t="s">
        <v>17</v>
      </c>
    </row>
    <row r="75" spans="1:9" x14ac:dyDescent="0.25">
      <c r="A75" s="10">
        <v>45796</v>
      </c>
      <c r="B75" s="1" t="s">
        <v>8</v>
      </c>
      <c r="C75" s="1" t="s">
        <v>474</v>
      </c>
      <c r="D75" s="1" t="s">
        <v>165</v>
      </c>
      <c r="E75" s="1">
        <v>19</v>
      </c>
      <c r="F75" s="8">
        <v>350000</v>
      </c>
      <c r="G75" s="8">
        <f t="shared" si="1"/>
        <v>6650000</v>
      </c>
      <c r="H75" s="1" t="s">
        <v>480</v>
      </c>
      <c r="I75" s="11" t="s">
        <v>17</v>
      </c>
    </row>
    <row r="76" spans="1:9" x14ac:dyDescent="0.25">
      <c r="A76" s="10">
        <v>45716</v>
      </c>
      <c r="B76" s="1" t="s">
        <v>99</v>
      </c>
      <c r="C76" s="1" t="s">
        <v>474</v>
      </c>
      <c r="D76" s="1" t="s">
        <v>165</v>
      </c>
      <c r="E76" s="1">
        <v>15</v>
      </c>
      <c r="F76" s="8">
        <v>350000</v>
      </c>
      <c r="G76" s="8">
        <f t="shared" si="1"/>
        <v>5250000</v>
      </c>
      <c r="H76" s="1" t="s">
        <v>471</v>
      </c>
      <c r="I76" s="11" t="s">
        <v>17</v>
      </c>
    </row>
    <row r="77" spans="1:9" x14ac:dyDescent="0.25">
      <c r="A77" s="10">
        <v>45689</v>
      </c>
      <c r="B77" s="1" t="s">
        <v>99</v>
      </c>
      <c r="C77" s="1" t="s">
        <v>475</v>
      </c>
      <c r="D77" s="1" t="s">
        <v>165</v>
      </c>
      <c r="E77" s="1">
        <v>17</v>
      </c>
      <c r="F77" s="8">
        <v>350000</v>
      </c>
      <c r="G77" s="8">
        <f t="shared" si="1"/>
        <v>5950000</v>
      </c>
      <c r="H77" s="1" t="s">
        <v>437</v>
      </c>
      <c r="I77" s="11" t="s">
        <v>17</v>
      </c>
    </row>
    <row r="78" spans="1:9" x14ac:dyDescent="0.25">
      <c r="A78" s="10">
        <v>45802</v>
      </c>
      <c r="B78" s="1" t="s">
        <v>59</v>
      </c>
      <c r="C78" s="1" t="s">
        <v>475</v>
      </c>
      <c r="D78" s="1" t="s">
        <v>20</v>
      </c>
      <c r="E78" s="1">
        <v>11</v>
      </c>
      <c r="F78" s="8">
        <v>150000</v>
      </c>
      <c r="G78" s="8">
        <f t="shared" si="1"/>
        <v>1650000</v>
      </c>
      <c r="H78" s="1" t="s">
        <v>437</v>
      </c>
      <c r="I78" s="11" t="s">
        <v>17</v>
      </c>
    </row>
    <row r="79" spans="1:9" x14ac:dyDescent="0.25">
      <c r="A79" s="10">
        <v>45671</v>
      </c>
      <c r="B79" s="1" t="s">
        <v>99</v>
      </c>
      <c r="C79" s="1" t="s">
        <v>119</v>
      </c>
      <c r="D79" s="1" t="s">
        <v>120</v>
      </c>
      <c r="E79" s="1">
        <v>3</v>
      </c>
      <c r="F79" s="8">
        <v>250000</v>
      </c>
      <c r="G79" s="8">
        <f t="shared" si="1"/>
        <v>750000</v>
      </c>
      <c r="H79" s="1" t="s">
        <v>437</v>
      </c>
      <c r="I79" s="11" t="s">
        <v>75</v>
      </c>
    </row>
    <row r="80" spans="1:9" x14ac:dyDescent="0.25">
      <c r="A80" s="10">
        <v>45752</v>
      </c>
      <c r="B80" s="1" t="s">
        <v>99</v>
      </c>
      <c r="C80" s="1" t="s">
        <v>119</v>
      </c>
      <c r="D80" s="1" t="s">
        <v>120</v>
      </c>
      <c r="E80" s="1">
        <v>5</v>
      </c>
      <c r="F80" s="8">
        <v>250000</v>
      </c>
      <c r="G80" s="8">
        <f t="shared" si="1"/>
        <v>1250000</v>
      </c>
      <c r="H80" s="1" t="s">
        <v>437</v>
      </c>
      <c r="I80" s="11" t="s">
        <v>75</v>
      </c>
    </row>
    <row r="81" spans="1:9" x14ac:dyDescent="0.25">
      <c r="A81" s="10">
        <v>45805</v>
      </c>
      <c r="B81" s="1" t="s">
        <v>71</v>
      </c>
      <c r="C81" s="1" t="s">
        <v>105</v>
      </c>
      <c r="D81" s="1" t="s">
        <v>20</v>
      </c>
      <c r="E81" s="1">
        <v>4</v>
      </c>
      <c r="F81" s="8">
        <v>150000</v>
      </c>
      <c r="G81" s="8">
        <f t="shared" si="1"/>
        <v>600000</v>
      </c>
      <c r="H81" s="1" t="s">
        <v>437</v>
      </c>
      <c r="I81" s="11" t="s">
        <v>75</v>
      </c>
    </row>
    <row r="82" spans="1:9" x14ac:dyDescent="0.25">
      <c r="A82" s="10">
        <v>45713</v>
      </c>
      <c r="B82" s="1" t="s">
        <v>71</v>
      </c>
      <c r="C82" s="1" t="s">
        <v>105</v>
      </c>
      <c r="D82" s="1" t="s">
        <v>20</v>
      </c>
      <c r="E82" s="1">
        <v>9</v>
      </c>
      <c r="F82" s="8">
        <v>150000</v>
      </c>
      <c r="G82" s="8">
        <f t="shared" si="1"/>
        <v>1350000</v>
      </c>
      <c r="H82" s="1" t="s">
        <v>437</v>
      </c>
      <c r="I82" s="11" t="s">
        <v>75</v>
      </c>
    </row>
    <row r="83" spans="1:9" x14ac:dyDescent="0.25">
      <c r="A83" s="10">
        <v>45765</v>
      </c>
      <c r="B83" s="1" t="s">
        <v>8</v>
      </c>
      <c r="C83" s="1" t="s">
        <v>105</v>
      </c>
      <c r="D83" s="1" t="s">
        <v>20</v>
      </c>
      <c r="E83" s="1">
        <v>10</v>
      </c>
      <c r="F83" s="8">
        <v>150000</v>
      </c>
      <c r="G83" s="8">
        <f t="shared" si="1"/>
        <v>1500000</v>
      </c>
      <c r="H83" s="1" t="s">
        <v>437</v>
      </c>
      <c r="I83" s="11" t="s">
        <v>75</v>
      </c>
    </row>
    <row r="84" spans="1:9" x14ac:dyDescent="0.25">
      <c r="A84" s="10">
        <v>45689</v>
      </c>
      <c r="B84" s="1" t="s">
        <v>8</v>
      </c>
      <c r="C84" s="1" t="s">
        <v>477</v>
      </c>
      <c r="D84" s="1" t="s">
        <v>478</v>
      </c>
      <c r="E84" s="1">
        <v>4</v>
      </c>
      <c r="F84" s="8">
        <v>65000</v>
      </c>
      <c r="G84" s="8">
        <f t="shared" si="1"/>
        <v>260000</v>
      </c>
      <c r="H84" s="1" t="s">
        <v>437</v>
      </c>
      <c r="I84" s="11" t="s">
        <v>75</v>
      </c>
    </row>
    <row r="85" spans="1:9" x14ac:dyDescent="0.25">
      <c r="A85" s="10">
        <v>45680</v>
      </c>
      <c r="B85" s="1" t="s">
        <v>71</v>
      </c>
      <c r="C85" s="1" t="s">
        <v>477</v>
      </c>
      <c r="D85" s="1" t="s">
        <v>110</v>
      </c>
      <c r="E85" s="1">
        <v>19</v>
      </c>
      <c r="F85" s="8">
        <v>175000</v>
      </c>
      <c r="G85" s="8">
        <f t="shared" si="1"/>
        <v>3325000</v>
      </c>
      <c r="H85" s="1" t="s">
        <v>437</v>
      </c>
      <c r="I85" s="11" t="s">
        <v>75</v>
      </c>
    </row>
    <row r="86" spans="1:9" x14ac:dyDescent="0.25">
      <c r="A86" s="10">
        <v>45666</v>
      </c>
      <c r="B86" s="1" t="s">
        <v>99</v>
      </c>
      <c r="C86" s="1" t="s">
        <v>105</v>
      </c>
      <c r="D86" s="1" t="s">
        <v>20</v>
      </c>
      <c r="E86" s="1">
        <v>3</v>
      </c>
      <c r="F86" s="8">
        <v>150000</v>
      </c>
      <c r="G86" s="8">
        <f t="shared" si="1"/>
        <v>450000</v>
      </c>
      <c r="H86" s="1" t="s">
        <v>437</v>
      </c>
      <c r="I86" s="11" t="s">
        <v>75</v>
      </c>
    </row>
    <row r="87" spans="1:9" x14ac:dyDescent="0.25">
      <c r="A87" s="10">
        <v>45723</v>
      </c>
      <c r="B87" s="1" t="s">
        <v>99</v>
      </c>
      <c r="C87" s="1" t="s">
        <v>475</v>
      </c>
      <c r="D87" s="1" t="s">
        <v>110</v>
      </c>
      <c r="E87" s="1">
        <v>20</v>
      </c>
      <c r="F87" s="8">
        <v>175000</v>
      </c>
      <c r="G87" s="8">
        <f t="shared" si="1"/>
        <v>3500000</v>
      </c>
      <c r="H87" s="1" t="s">
        <v>437</v>
      </c>
      <c r="I87" s="11" t="s">
        <v>75</v>
      </c>
    </row>
    <row r="88" spans="1:9" x14ac:dyDescent="0.25">
      <c r="A88" s="10">
        <v>45714</v>
      </c>
      <c r="B88" s="1" t="s">
        <v>71</v>
      </c>
      <c r="C88" s="1" t="s">
        <v>475</v>
      </c>
      <c r="D88" s="1" t="s">
        <v>20</v>
      </c>
      <c r="E88" s="1">
        <v>4</v>
      </c>
      <c r="F88" s="8">
        <v>150000</v>
      </c>
      <c r="G88" s="8">
        <f t="shared" si="1"/>
        <v>600000</v>
      </c>
      <c r="H88" s="1" t="s">
        <v>179</v>
      </c>
      <c r="I88" s="11" t="s">
        <v>489</v>
      </c>
    </row>
    <row r="89" spans="1:9" x14ac:dyDescent="0.25">
      <c r="A89" s="10">
        <v>45834</v>
      </c>
      <c r="B89" s="1" t="s">
        <v>99</v>
      </c>
      <c r="C89" s="1" t="s">
        <v>475</v>
      </c>
      <c r="D89" s="1" t="s">
        <v>110</v>
      </c>
      <c r="E89" s="1">
        <v>2</v>
      </c>
      <c r="F89" s="8">
        <v>175000</v>
      </c>
      <c r="G89" s="8">
        <f t="shared" si="1"/>
        <v>350000</v>
      </c>
      <c r="H89" s="1" t="s">
        <v>179</v>
      </c>
      <c r="I89" s="11" t="s">
        <v>488</v>
      </c>
    </row>
    <row r="90" spans="1:9" x14ac:dyDescent="0.25">
      <c r="A90" s="10">
        <v>45668</v>
      </c>
      <c r="B90" s="1" t="s">
        <v>59</v>
      </c>
      <c r="C90" s="1" t="s">
        <v>476</v>
      </c>
      <c r="D90" s="1" t="s">
        <v>110</v>
      </c>
      <c r="E90" s="1">
        <v>8</v>
      </c>
      <c r="F90" s="8">
        <v>175000</v>
      </c>
      <c r="G90" s="8">
        <f t="shared" si="1"/>
        <v>1400000</v>
      </c>
      <c r="H90" s="1" t="s">
        <v>179</v>
      </c>
      <c r="I90" s="11" t="s">
        <v>488</v>
      </c>
    </row>
    <row r="91" spans="1:9" x14ac:dyDescent="0.25">
      <c r="A91" s="10">
        <v>45670</v>
      </c>
      <c r="B91" s="1" t="s">
        <v>8</v>
      </c>
      <c r="C91" s="1" t="s">
        <v>473</v>
      </c>
      <c r="D91" s="1" t="s">
        <v>226</v>
      </c>
      <c r="E91" s="1">
        <v>18</v>
      </c>
      <c r="F91" s="8">
        <v>85000</v>
      </c>
      <c r="G91" s="8">
        <f t="shared" si="1"/>
        <v>1530000</v>
      </c>
      <c r="H91" s="1" t="s">
        <v>179</v>
      </c>
      <c r="I91" s="11" t="s">
        <v>488</v>
      </c>
    </row>
    <row r="92" spans="1:9" x14ac:dyDescent="0.25">
      <c r="A92" s="10">
        <v>45804</v>
      </c>
      <c r="B92" s="1" t="s">
        <v>99</v>
      </c>
      <c r="C92" s="1" t="s">
        <v>473</v>
      </c>
      <c r="D92" s="1" t="s">
        <v>120</v>
      </c>
      <c r="E92" s="1">
        <v>8</v>
      </c>
      <c r="F92" s="8">
        <v>2500000</v>
      </c>
      <c r="G92" s="8">
        <f t="shared" si="1"/>
        <v>20000000</v>
      </c>
      <c r="H92" s="1" t="s">
        <v>179</v>
      </c>
      <c r="I92" s="11" t="s">
        <v>488</v>
      </c>
    </row>
    <row r="93" spans="1:9" x14ac:dyDescent="0.25">
      <c r="A93" s="10">
        <v>45761</v>
      </c>
      <c r="B93" s="1" t="s">
        <v>8</v>
      </c>
      <c r="C93" s="1" t="s">
        <v>474</v>
      </c>
      <c r="D93" s="1" t="s">
        <v>165</v>
      </c>
      <c r="E93" s="1">
        <v>8</v>
      </c>
      <c r="F93" s="8">
        <v>350000</v>
      </c>
      <c r="G93" s="8">
        <f t="shared" si="1"/>
        <v>2800000</v>
      </c>
      <c r="H93" s="1" t="s">
        <v>179</v>
      </c>
      <c r="I93" s="11" t="s">
        <v>488</v>
      </c>
    </row>
    <row r="94" spans="1:9" x14ac:dyDescent="0.25">
      <c r="A94" s="10">
        <v>45836</v>
      </c>
      <c r="B94" s="1" t="s">
        <v>59</v>
      </c>
      <c r="C94" s="1" t="s">
        <v>105</v>
      </c>
      <c r="D94" s="1" t="s">
        <v>165</v>
      </c>
      <c r="E94" s="1">
        <v>20</v>
      </c>
      <c r="F94" s="8">
        <v>350000</v>
      </c>
      <c r="G94" s="8">
        <f t="shared" si="1"/>
        <v>7000000</v>
      </c>
      <c r="H94" s="1" t="s">
        <v>179</v>
      </c>
      <c r="I94" s="11" t="s">
        <v>489</v>
      </c>
    </row>
    <row r="95" spans="1:9" x14ac:dyDescent="0.25">
      <c r="A95" s="10">
        <v>45751</v>
      </c>
      <c r="B95" s="1" t="s">
        <v>99</v>
      </c>
      <c r="C95" s="1" t="s">
        <v>105</v>
      </c>
      <c r="D95" s="1" t="s">
        <v>20</v>
      </c>
      <c r="E95" s="1">
        <v>6</v>
      </c>
      <c r="F95" s="8">
        <v>150000</v>
      </c>
      <c r="G95" s="8">
        <f t="shared" si="1"/>
        <v>900000</v>
      </c>
      <c r="H95" s="1" t="s">
        <v>179</v>
      </c>
      <c r="I95" s="11" t="s">
        <v>489</v>
      </c>
    </row>
    <row r="96" spans="1:9" x14ac:dyDescent="0.25">
      <c r="A96" s="10">
        <v>45680</v>
      </c>
      <c r="B96" s="1" t="s">
        <v>99</v>
      </c>
      <c r="C96" s="1" t="s">
        <v>105</v>
      </c>
      <c r="D96" s="1" t="s">
        <v>478</v>
      </c>
      <c r="E96" s="1">
        <v>2</v>
      </c>
      <c r="F96" s="8">
        <v>150000</v>
      </c>
      <c r="G96" s="8">
        <f t="shared" si="1"/>
        <v>300000</v>
      </c>
      <c r="H96" s="1" t="s">
        <v>179</v>
      </c>
      <c r="I96" s="11" t="s">
        <v>489</v>
      </c>
    </row>
    <row r="97" spans="1:9" x14ac:dyDescent="0.25">
      <c r="A97" s="10">
        <v>45825</v>
      </c>
      <c r="B97" s="1" t="s">
        <v>59</v>
      </c>
      <c r="C97" s="1" t="s">
        <v>477</v>
      </c>
      <c r="D97" s="1" t="s">
        <v>478</v>
      </c>
      <c r="E97" s="1">
        <v>12</v>
      </c>
      <c r="F97" s="8">
        <v>65000</v>
      </c>
      <c r="G97" s="8">
        <f t="shared" si="1"/>
        <v>780000</v>
      </c>
      <c r="H97" s="1" t="s">
        <v>179</v>
      </c>
      <c r="I97" s="11" t="s">
        <v>489</v>
      </c>
    </row>
    <row r="98" spans="1:9" x14ac:dyDescent="0.25">
      <c r="A98" s="10">
        <v>45838</v>
      </c>
      <c r="B98" s="1" t="s">
        <v>99</v>
      </c>
      <c r="C98" s="1" t="s">
        <v>477</v>
      </c>
      <c r="D98" s="1" t="s">
        <v>110</v>
      </c>
      <c r="E98" s="1">
        <v>8</v>
      </c>
      <c r="F98" s="8">
        <v>175000</v>
      </c>
      <c r="G98" s="8">
        <f t="shared" si="1"/>
        <v>1400000</v>
      </c>
      <c r="H98" s="1" t="s">
        <v>179</v>
      </c>
      <c r="I98" s="11" t="s">
        <v>486</v>
      </c>
    </row>
    <row r="99" spans="1:9" x14ac:dyDescent="0.25">
      <c r="A99" s="10">
        <v>45806</v>
      </c>
      <c r="B99" s="1" t="s">
        <v>99</v>
      </c>
      <c r="C99" s="1" t="s">
        <v>473</v>
      </c>
      <c r="D99" s="1" t="s">
        <v>120</v>
      </c>
      <c r="E99" s="1">
        <v>20</v>
      </c>
      <c r="F99" s="8">
        <v>2500000</v>
      </c>
      <c r="G99" s="8">
        <f t="shared" si="1"/>
        <v>50000000</v>
      </c>
      <c r="H99" s="1" t="s">
        <v>179</v>
      </c>
      <c r="I99" s="11" t="s">
        <v>486</v>
      </c>
    </row>
    <row r="100" spans="1:9" x14ac:dyDescent="0.25">
      <c r="A100" s="10">
        <v>45725</v>
      </c>
      <c r="B100" s="1" t="s">
        <v>99</v>
      </c>
      <c r="C100" s="1" t="s">
        <v>119</v>
      </c>
      <c r="D100" s="1" t="s">
        <v>20</v>
      </c>
      <c r="E100" s="1">
        <v>5</v>
      </c>
      <c r="F100" s="8">
        <v>180000</v>
      </c>
      <c r="G100" s="8">
        <f t="shared" si="1"/>
        <v>900000</v>
      </c>
      <c r="H100" s="1" t="s">
        <v>179</v>
      </c>
      <c r="I100" s="11" t="s">
        <v>486</v>
      </c>
    </row>
    <row r="101" spans="1:9" x14ac:dyDescent="0.25">
      <c r="A101" s="16">
        <v>45787</v>
      </c>
      <c r="B101" s="17" t="s">
        <v>71</v>
      </c>
      <c r="C101" s="17" t="s">
        <v>476</v>
      </c>
      <c r="D101" s="17" t="s">
        <v>20</v>
      </c>
      <c r="E101" s="17">
        <v>19</v>
      </c>
      <c r="F101" s="18">
        <v>150000</v>
      </c>
      <c r="G101" s="18">
        <f t="shared" si="1"/>
        <v>2850000</v>
      </c>
      <c r="H101" s="17" t="s">
        <v>469</v>
      </c>
      <c r="I101" s="19" t="s">
        <v>486</v>
      </c>
    </row>
  </sheetData>
  <pageMargins left="0.7" right="0.7" top="0.75" bottom="0.75" header="0.3" footer="0.3"/>
  <pageSetup orientation="portrait" r:id="rId1"/>
  <tableParts count="1">
    <tablePart r:id="rId2"/>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102"/>
  <sheetViews>
    <sheetView tabSelected="1" workbookViewId="0">
      <pane ySplit="1" topLeftCell="A2" activePane="bottomLeft" state="frozen"/>
      <selection activeCell="E20" sqref="E20"/>
      <selection pane="bottomLeft" activeCell="A3" sqref="A3"/>
    </sheetView>
  </sheetViews>
  <sheetFormatPr defaultRowHeight="15" x14ac:dyDescent="0.25"/>
  <cols>
    <col min="1" max="9" width="18.85546875" customWidth="1"/>
  </cols>
  <sheetData>
    <row r="1" spans="1:8" x14ac:dyDescent="0.25">
      <c r="A1" s="2" t="s">
        <v>0</v>
      </c>
      <c r="B1" s="2" t="s">
        <v>1</v>
      </c>
      <c r="C1" s="2" t="s">
        <v>2</v>
      </c>
      <c r="D1" s="2" t="s">
        <v>3</v>
      </c>
      <c r="E1" s="2" t="s">
        <v>4</v>
      </c>
      <c r="F1" s="2" t="s">
        <v>5</v>
      </c>
      <c r="G1" s="2" t="s">
        <v>6</v>
      </c>
      <c r="H1" s="2" t="s">
        <v>7</v>
      </c>
    </row>
    <row r="2" spans="1:8" x14ac:dyDescent="0.25">
      <c r="A2" s="3">
        <v>45821</v>
      </c>
      <c r="B2" s="1" t="s">
        <v>8</v>
      </c>
      <c r="C2" s="1" t="s">
        <v>9</v>
      </c>
      <c r="D2" s="1" t="s">
        <v>10</v>
      </c>
      <c r="E2" s="1">
        <v>8</v>
      </c>
      <c r="F2" s="1">
        <v>2500000</v>
      </c>
      <c r="G2" s="1" t="s">
        <v>11</v>
      </c>
      <c r="H2" s="1" t="s">
        <v>12</v>
      </c>
    </row>
    <row r="3" spans="1:8" x14ac:dyDescent="0.25">
      <c r="A3" s="3">
        <v>45755</v>
      </c>
      <c r="B3" s="1" t="s">
        <v>13</v>
      </c>
      <c r="C3" s="1" t="s">
        <v>14</v>
      </c>
      <c r="D3" s="1" t="s">
        <v>15</v>
      </c>
      <c r="E3" s="1">
        <v>6</v>
      </c>
      <c r="F3" s="1">
        <v>350000</v>
      </c>
      <c r="G3" s="1" t="s">
        <v>16</v>
      </c>
      <c r="H3" s="1" t="s">
        <v>17</v>
      </c>
    </row>
    <row r="4" spans="1:8" x14ac:dyDescent="0.25">
      <c r="A4" s="3">
        <v>45686</v>
      </c>
      <c r="B4" s="1" t="s">
        <v>18</v>
      </c>
      <c r="C4" s="1" t="s">
        <v>19</v>
      </c>
      <c r="D4" s="1" t="s">
        <v>20</v>
      </c>
      <c r="E4" s="1">
        <v>14</v>
      </c>
      <c r="F4" s="1">
        <v>180000</v>
      </c>
      <c r="G4" s="1" t="s">
        <v>21</v>
      </c>
      <c r="H4" s="1" t="s">
        <v>22</v>
      </c>
    </row>
    <row r="5" spans="1:8" x14ac:dyDescent="0.25">
      <c r="A5" s="1" t="s">
        <v>23</v>
      </c>
      <c r="B5" s="1" t="s">
        <v>24</v>
      </c>
      <c r="C5" s="1" t="s">
        <v>25</v>
      </c>
      <c r="D5" s="1" t="s">
        <v>26</v>
      </c>
      <c r="E5" s="1">
        <v>18</v>
      </c>
      <c r="F5" s="1">
        <v>65000</v>
      </c>
      <c r="G5" s="1" t="s">
        <v>27</v>
      </c>
      <c r="H5" s="1" t="s">
        <v>28</v>
      </c>
    </row>
    <row r="6" spans="1:8" x14ac:dyDescent="0.25">
      <c r="A6" s="1" t="s">
        <v>29</v>
      </c>
      <c r="B6" s="1" t="s">
        <v>30</v>
      </c>
      <c r="C6" s="1" t="s">
        <v>31</v>
      </c>
      <c r="D6" s="1" t="s">
        <v>32</v>
      </c>
      <c r="E6" s="1">
        <v>5</v>
      </c>
      <c r="F6" s="1">
        <v>180000</v>
      </c>
      <c r="G6" s="1" t="s">
        <v>33</v>
      </c>
      <c r="H6" s="1" t="s">
        <v>34</v>
      </c>
    </row>
    <row r="7" spans="1:8" x14ac:dyDescent="0.25">
      <c r="A7" s="1" t="s">
        <v>35</v>
      </c>
      <c r="B7" s="1" t="s">
        <v>36</v>
      </c>
      <c r="C7" s="1" t="s">
        <v>31</v>
      </c>
      <c r="D7" s="1" t="s">
        <v>37</v>
      </c>
      <c r="E7" s="1">
        <v>19</v>
      </c>
      <c r="F7" s="1">
        <v>157427</v>
      </c>
      <c r="G7" s="1" t="s">
        <v>38</v>
      </c>
      <c r="H7" s="1" t="s">
        <v>39</v>
      </c>
    </row>
    <row r="8" spans="1:8" x14ac:dyDescent="0.25">
      <c r="A8" s="1" t="s">
        <v>40</v>
      </c>
      <c r="B8" s="1" t="s">
        <v>41</v>
      </c>
      <c r="C8" s="1" t="s">
        <v>42</v>
      </c>
      <c r="D8" s="1" t="s">
        <v>43</v>
      </c>
      <c r="E8" s="1">
        <v>3</v>
      </c>
      <c r="F8" s="1">
        <v>350000</v>
      </c>
      <c r="G8" s="1" t="s">
        <v>44</v>
      </c>
      <c r="H8" s="1" t="s">
        <v>45</v>
      </c>
    </row>
    <row r="9" spans="1:8" x14ac:dyDescent="0.25">
      <c r="A9" s="1" t="s">
        <v>46</v>
      </c>
      <c r="B9" s="1" t="s">
        <v>47</v>
      </c>
      <c r="C9" s="1" t="s">
        <v>48</v>
      </c>
      <c r="D9" s="1" t="s">
        <v>49</v>
      </c>
      <c r="E9" s="1">
        <v>2</v>
      </c>
      <c r="F9" s="1">
        <v>65000</v>
      </c>
      <c r="G9" s="1" t="s">
        <v>50</v>
      </c>
      <c r="H9" s="1" t="s">
        <v>51</v>
      </c>
    </row>
    <row r="10" spans="1:8" x14ac:dyDescent="0.25">
      <c r="A10" s="1" t="s">
        <v>52</v>
      </c>
      <c r="B10" s="1" t="s">
        <v>53</v>
      </c>
      <c r="C10" s="1" t="s">
        <v>54</v>
      </c>
      <c r="D10" s="1" t="s">
        <v>55</v>
      </c>
      <c r="E10" s="1">
        <v>14</v>
      </c>
      <c r="F10" s="1">
        <v>175000</v>
      </c>
      <c r="G10" s="1" t="s">
        <v>56</v>
      </c>
      <c r="H10" s="1" t="s">
        <v>57</v>
      </c>
    </row>
    <row r="11" spans="1:8" x14ac:dyDescent="0.25">
      <c r="A11" s="1" t="s">
        <v>58</v>
      </c>
      <c r="B11" s="1" t="s">
        <v>59</v>
      </c>
      <c r="C11" s="1" t="s">
        <v>60</v>
      </c>
      <c r="D11" s="1" t="s">
        <v>61</v>
      </c>
      <c r="E11" s="1">
        <v>4</v>
      </c>
      <c r="F11" s="1">
        <v>150000</v>
      </c>
      <c r="G11" s="1" t="s">
        <v>62</v>
      </c>
      <c r="H11" s="1" t="s">
        <v>63</v>
      </c>
    </row>
    <row r="12" spans="1:8" x14ac:dyDescent="0.25">
      <c r="A12" s="1" t="s">
        <v>64</v>
      </c>
      <c r="B12" s="1" t="s">
        <v>65</v>
      </c>
      <c r="C12" s="1" t="s">
        <v>66</v>
      </c>
      <c r="D12" s="1" t="s">
        <v>67</v>
      </c>
      <c r="E12" s="1">
        <v>20</v>
      </c>
      <c r="F12" s="1">
        <v>150000</v>
      </c>
      <c r="G12" s="1" t="s">
        <v>68</v>
      </c>
      <c r="H12" s="1" t="s">
        <v>69</v>
      </c>
    </row>
    <row r="13" spans="1:8" x14ac:dyDescent="0.25">
      <c r="A13" s="1" t="s">
        <v>70</v>
      </c>
      <c r="B13" s="1" t="s">
        <v>71</v>
      </c>
      <c r="C13" s="1" t="s">
        <v>72</v>
      </c>
      <c r="D13" s="1" t="s">
        <v>73</v>
      </c>
      <c r="E13" s="1">
        <v>6</v>
      </c>
      <c r="F13" s="1">
        <v>85000</v>
      </c>
      <c r="G13" s="1" t="s">
        <v>74</v>
      </c>
      <c r="H13" s="1" t="s">
        <v>75</v>
      </c>
    </row>
    <row r="14" spans="1:8" x14ac:dyDescent="0.25">
      <c r="A14" s="1" t="s">
        <v>76</v>
      </c>
      <c r="B14" s="1" t="s">
        <v>41</v>
      </c>
      <c r="C14" s="1" t="s">
        <v>77</v>
      </c>
      <c r="D14" s="1" t="s">
        <v>78</v>
      </c>
      <c r="E14" s="1">
        <v>1</v>
      </c>
      <c r="F14" s="1">
        <v>150000</v>
      </c>
      <c r="G14" s="1" t="s">
        <v>79</v>
      </c>
      <c r="H14" s="1" t="s">
        <v>80</v>
      </c>
    </row>
    <row r="15" spans="1:8" x14ac:dyDescent="0.25">
      <c r="A15" s="1" t="s">
        <v>81</v>
      </c>
      <c r="B15" s="1" t="s">
        <v>82</v>
      </c>
      <c r="C15" s="1" t="s">
        <v>83</v>
      </c>
      <c r="D15" s="1" t="s">
        <v>15</v>
      </c>
      <c r="E15" s="1">
        <v>18</v>
      </c>
      <c r="F15" s="1">
        <v>35000</v>
      </c>
      <c r="G15" s="1" t="s">
        <v>84</v>
      </c>
      <c r="H15" s="1" t="s">
        <v>85</v>
      </c>
    </row>
    <row r="16" spans="1:8" x14ac:dyDescent="0.25">
      <c r="A16" s="1" t="s">
        <v>86</v>
      </c>
      <c r="B16" s="1" t="s">
        <v>87</v>
      </c>
      <c r="C16" s="1" t="s">
        <v>88</v>
      </c>
      <c r="D16" s="1" t="s">
        <v>89</v>
      </c>
      <c r="E16" s="1">
        <v>2</v>
      </c>
      <c r="F16" s="1">
        <v>85000</v>
      </c>
      <c r="G16" s="1" t="s">
        <v>90</v>
      </c>
      <c r="H16" s="1" t="s">
        <v>91</v>
      </c>
    </row>
    <row r="17" spans="1:8" x14ac:dyDescent="0.25">
      <c r="A17" s="1" t="s">
        <v>92</v>
      </c>
      <c r="B17" s="1" t="s">
        <v>93</v>
      </c>
      <c r="C17" s="1" t="s">
        <v>94</v>
      </c>
      <c r="D17" s="1" t="s">
        <v>95</v>
      </c>
      <c r="E17" s="1">
        <v>11</v>
      </c>
      <c r="F17" s="1">
        <v>62035</v>
      </c>
      <c r="G17" s="1" t="s">
        <v>96</v>
      </c>
      <c r="H17" s="1" t="s">
        <v>97</v>
      </c>
    </row>
    <row r="18" spans="1:8" x14ac:dyDescent="0.25">
      <c r="A18" s="1" t="s">
        <v>98</v>
      </c>
      <c r="B18" s="1" t="s">
        <v>99</v>
      </c>
      <c r="C18" s="1" t="s">
        <v>100</v>
      </c>
      <c r="D18" s="1" t="s">
        <v>101</v>
      </c>
      <c r="E18" s="1">
        <v>10</v>
      </c>
      <c r="F18" s="1">
        <v>175000</v>
      </c>
      <c r="G18" s="1" t="s">
        <v>102</v>
      </c>
      <c r="H18" s="1" t="s">
        <v>75</v>
      </c>
    </row>
    <row r="19" spans="1:8" x14ac:dyDescent="0.25">
      <c r="A19" s="1" t="s">
        <v>103</v>
      </c>
      <c r="B19" s="1" t="s">
        <v>104</v>
      </c>
      <c r="C19" s="1" t="s">
        <v>105</v>
      </c>
      <c r="D19" s="1" t="s">
        <v>37</v>
      </c>
      <c r="E19" s="1">
        <v>4</v>
      </c>
      <c r="F19" s="1">
        <v>150000</v>
      </c>
      <c r="G19" s="1" t="s">
        <v>106</v>
      </c>
      <c r="H19" s="1" t="s">
        <v>107</v>
      </c>
    </row>
    <row r="20" spans="1:8" x14ac:dyDescent="0.25">
      <c r="A20" s="1" t="s">
        <v>108</v>
      </c>
      <c r="B20" s="1" t="s">
        <v>59</v>
      </c>
      <c r="C20" s="1" t="s">
        <v>109</v>
      </c>
      <c r="D20" s="1" t="s">
        <v>110</v>
      </c>
      <c r="E20" s="1">
        <v>3</v>
      </c>
      <c r="F20" s="1">
        <v>175000</v>
      </c>
      <c r="G20" s="1" t="s">
        <v>111</v>
      </c>
      <c r="H20" s="1" t="s">
        <v>112</v>
      </c>
    </row>
    <row r="21" spans="1:8" x14ac:dyDescent="0.25">
      <c r="A21" s="1" t="s">
        <v>113</v>
      </c>
      <c r="B21" s="1" t="s">
        <v>114</v>
      </c>
      <c r="C21" s="1" t="s">
        <v>115</v>
      </c>
      <c r="D21" s="1" t="s">
        <v>110</v>
      </c>
      <c r="E21" s="1">
        <v>5</v>
      </c>
      <c r="F21" s="1">
        <v>175000</v>
      </c>
      <c r="G21" s="1" t="s">
        <v>116</v>
      </c>
      <c r="H21" s="1" t="s">
        <v>112</v>
      </c>
    </row>
    <row r="22" spans="1:8" x14ac:dyDescent="0.25">
      <c r="A22" s="1" t="s">
        <v>117</v>
      </c>
      <c r="B22" s="1" t="s">
        <v>118</v>
      </c>
      <c r="C22" s="1" t="s">
        <v>119</v>
      </c>
      <c r="D22" s="1" t="s">
        <v>120</v>
      </c>
      <c r="E22" s="1">
        <v>20</v>
      </c>
      <c r="F22" s="1">
        <v>250000</v>
      </c>
      <c r="G22" s="1" t="s">
        <v>121</v>
      </c>
      <c r="H22" s="1" t="s">
        <v>39</v>
      </c>
    </row>
    <row r="23" spans="1:8" x14ac:dyDescent="0.25">
      <c r="A23" s="1" t="s">
        <v>122</v>
      </c>
      <c r="B23" s="1" t="s">
        <v>99</v>
      </c>
      <c r="C23" s="1" t="s">
        <v>123</v>
      </c>
      <c r="D23" s="1" t="s">
        <v>124</v>
      </c>
      <c r="E23" s="1">
        <v>2</v>
      </c>
      <c r="F23" s="1">
        <v>175000</v>
      </c>
      <c r="G23" s="1" t="s">
        <v>125</v>
      </c>
      <c r="H23" s="1" t="s">
        <v>126</v>
      </c>
    </row>
    <row r="24" spans="1:8" x14ac:dyDescent="0.25">
      <c r="A24" s="1" t="s">
        <v>127</v>
      </c>
      <c r="B24" s="1" t="s">
        <v>128</v>
      </c>
      <c r="C24" s="1" t="s">
        <v>129</v>
      </c>
      <c r="D24" s="1" t="s">
        <v>130</v>
      </c>
      <c r="E24" s="1">
        <v>20</v>
      </c>
      <c r="F24" s="1">
        <v>150000</v>
      </c>
      <c r="G24" s="1" t="s">
        <v>102</v>
      </c>
      <c r="H24" s="1" t="s">
        <v>131</v>
      </c>
    </row>
    <row r="25" spans="1:8" x14ac:dyDescent="0.25">
      <c r="A25" s="1" t="s">
        <v>132</v>
      </c>
      <c r="B25" s="1" t="s">
        <v>133</v>
      </c>
      <c r="C25" s="1" t="s">
        <v>134</v>
      </c>
      <c r="D25" s="1" t="s">
        <v>135</v>
      </c>
      <c r="E25" s="1">
        <v>8</v>
      </c>
      <c r="F25" s="1">
        <v>150000</v>
      </c>
      <c r="G25" s="1" t="s">
        <v>136</v>
      </c>
      <c r="H25" s="1" t="s">
        <v>137</v>
      </c>
    </row>
    <row r="26" spans="1:8" x14ac:dyDescent="0.25">
      <c r="A26" s="1" t="s">
        <v>138</v>
      </c>
      <c r="B26" s="1" t="s">
        <v>139</v>
      </c>
      <c r="C26" s="1" t="s">
        <v>140</v>
      </c>
      <c r="D26" s="1" t="s">
        <v>141</v>
      </c>
      <c r="E26" s="1">
        <v>19</v>
      </c>
      <c r="F26" s="1">
        <v>250000</v>
      </c>
      <c r="G26" s="1" t="s">
        <v>142</v>
      </c>
      <c r="H26" s="1" t="s">
        <v>143</v>
      </c>
    </row>
    <row r="27" spans="1:8" x14ac:dyDescent="0.25">
      <c r="A27" s="1" t="s">
        <v>144</v>
      </c>
      <c r="B27" s="1" t="s">
        <v>145</v>
      </c>
      <c r="C27" s="1" t="s">
        <v>146</v>
      </c>
      <c r="D27" s="1" t="s">
        <v>147</v>
      </c>
      <c r="E27" s="1">
        <v>12</v>
      </c>
      <c r="F27" s="1">
        <v>175000</v>
      </c>
      <c r="G27" s="1" t="s">
        <v>148</v>
      </c>
      <c r="H27" s="1" t="s">
        <v>75</v>
      </c>
    </row>
    <row r="28" spans="1:8" x14ac:dyDescent="0.25">
      <c r="A28" s="1" t="s">
        <v>149</v>
      </c>
      <c r="B28" s="1" t="s">
        <v>150</v>
      </c>
      <c r="C28" s="1" t="s">
        <v>151</v>
      </c>
      <c r="D28" s="1" t="s">
        <v>152</v>
      </c>
      <c r="E28" s="1">
        <v>11</v>
      </c>
      <c r="F28" s="1">
        <v>85000</v>
      </c>
      <c r="G28" s="1" t="s">
        <v>153</v>
      </c>
      <c r="H28" s="1" t="s">
        <v>154</v>
      </c>
    </row>
    <row r="29" spans="1:8" x14ac:dyDescent="0.25">
      <c r="A29" s="1" t="s">
        <v>155</v>
      </c>
      <c r="B29" s="1" t="s">
        <v>133</v>
      </c>
      <c r="C29" s="1" t="s">
        <v>156</v>
      </c>
      <c r="D29" s="1" t="s">
        <v>157</v>
      </c>
      <c r="E29" s="1">
        <v>17</v>
      </c>
      <c r="F29" s="1">
        <v>65000</v>
      </c>
      <c r="G29" s="1" t="s">
        <v>116</v>
      </c>
      <c r="H29" s="1" t="s">
        <v>158</v>
      </c>
    </row>
    <row r="30" spans="1:8" x14ac:dyDescent="0.25">
      <c r="A30" s="1" t="s">
        <v>159</v>
      </c>
      <c r="B30" s="1" t="s">
        <v>160</v>
      </c>
      <c r="C30" s="1" t="s">
        <v>161</v>
      </c>
      <c r="D30" s="1" t="s">
        <v>162</v>
      </c>
      <c r="E30" s="1">
        <v>15</v>
      </c>
      <c r="F30" s="1">
        <v>350000</v>
      </c>
      <c r="G30" s="1" t="s">
        <v>471</v>
      </c>
      <c r="H30" s="1" t="s">
        <v>163</v>
      </c>
    </row>
    <row r="31" spans="1:8" x14ac:dyDescent="0.25">
      <c r="A31" s="1" t="s">
        <v>164</v>
      </c>
      <c r="B31" s="1" t="s">
        <v>47</v>
      </c>
      <c r="C31" s="1" t="s">
        <v>14</v>
      </c>
      <c r="D31" s="1" t="s">
        <v>165</v>
      </c>
      <c r="E31" s="1">
        <v>8</v>
      </c>
      <c r="F31" s="1">
        <v>350000</v>
      </c>
      <c r="G31" s="1" t="s">
        <v>166</v>
      </c>
      <c r="H31" s="1" t="s">
        <v>167</v>
      </c>
    </row>
    <row r="32" spans="1:8" x14ac:dyDescent="0.25">
      <c r="A32" s="1" t="s">
        <v>168</v>
      </c>
      <c r="B32" s="1" t="s">
        <v>169</v>
      </c>
      <c r="C32" s="1" t="s">
        <v>14</v>
      </c>
      <c r="D32" s="1" t="s">
        <v>170</v>
      </c>
      <c r="E32" s="1">
        <v>14</v>
      </c>
      <c r="F32" s="1">
        <v>350000</v>
      </c>
      <c r="G32" s="1" t="s">
        <v>84</v>
      </c>
      <c r="H32" s="1" t="s">
        <v>171</v>
      </c>
    </row>
    <row r="33" spans="1:8" x14ac:dyDescent="0.25">
      <c r="A33" s="1" t="s">
        <v>172</v>
      </c>
      <c r="B33" s="1" t="s">
        <v>99</v>
      </c>
      <c r="C33" s="1" t="s">
        <v>173</v>
      </c>
      <c r="D33" s="1" t="s">
        <v>174</v>
      </c>
      <c r="E33" s="1">
        <v>12</v>
      </c>
      <c r="F33" s="1">
        <v>150000</v>
      </c>
      <c r="G33" s="1" t="s">
        <v>21</v>
      </c>
      <c r="H33" s="1" t="s">
        <v>175</v>
      </c>
    </row>
    <row r="34" spans="1:8" x14ac:dyDescent="0.25">
      <c r="A34" s="1" t="s">
        <v>176</v>
      </c>
      <c r="B34" s="1" t="s">
        <v>177</v>
      </c>
      <c r="C34" s="1" t="s">
        <v>115</v>
      </c>
      <c r="D34" s="1" t="s">
        <v>178</v>
      </c>
      <c r="E34" s="1">
        <v>8</v>
      </c>
      <c r="F34" s="1">
        <v>175000</v>
      </c>
      <c r="G34" s="1" t="s">
        <v>179</v>
      </c>
      <c r="H34" s="1" t="s">
        <v>180</v>
      </c>
    </row>
    <row r="35" spans="1:8" x14ac:dyDescent="0.25">
      <c r="A35" s="1" t="s">
        <v>181</v>
      </c>
      <c r="B35" s="1" t="s">
        <v>8</v>
      </c>
      <c r="C35" s="1" t="s">
        <v>129</v>
      </c>
      <c r="D35" s="1" t="s">
        <v>182</v>
      </c>
      <c r="E35" s="1">
        <v>6</v>
      </c>
      <c r="F35" s="1">
        <v>150000</v>
      </c>
      <c r="G35" s="1" t="s">
        <v>183</v>
      </c>
      <c r="H35" s="1" t="s">
        <v>184</v>
      </c>
    </row>
    <row r="36" spans="1:8" x14ac:dyDescent="0.25">
      <c r="A36" s="1" t="s">
        <v>185</v>
      </c>
      <c r="B36" s="1" t="s">
        <v>59</v>
      </c>
      <c r="C36" s="1" t="s">
        <v>186</v>
      </c>
      <c r="D36" s="1" t="s">
        <v>120</v>
      </c>
      <c r="E36" s="1">
        <v>20</v>
      </c>
      <c r="F36" s="1">
        <v>2500000</v>
      </c>
      <c r="G36" s="1" t="s">
        <v>187</v>
      </c>
      <c r="H36" s="1" t="s">
        <v>188</v>
      </c>
    </row>
    <row r="37" spans="1:8" x14ac:dyDescent="0.25">
      <c r="A37" s="1" t="s">
        <v>189</v>
      </c>
      <c r="B37" s="1" t="s">
        <v>24</v>
      </c>
      <c r="C37" s="1" t="s">
        <v>190</v>
      </c>
      <c r="D37" s="1" t="s">
        <v>191</v>
      </c>
      <c r="E37" s="1">
        <v>12</v>
      </c>
      <c r="F37" s="1">
        <v>65000</v>
      </c>
      <c r="G37" s="1" t="s">
        <v>50</v>
      </c>
      <c r="H37" s="1" t="s">
        <v>192</v>
      </c>
    </row>
    <row r="38" spans="1:8" x14ac:dyDescent="0.25">
      <c r="A38" s="1" t="s">
        <v>193</v>
      </c>
      <c r="B38" s="1" t="s">
        <v>160</v>
      </c>
      <c r="C38" s="1" t="s">
        <v>194</v>
      </c>
      <c r="D38" s="1" t="s">
        <v>195</v>
      </c>
      <c r="E38" s="1">
        <v>4</v>
      </c>
      <c r="F38" s="1">
        <v>73740</v>
      </c>
      <c r="G38" s="1" t="s">
        <v>196</v>
      </c>
      <c r="H38" s="1" t="s">
        <v>197</v>
      </c>
    </row>
    <row r="39" spans="1:8" x14ac:dyDescent="0.25">
      <c r="A39" s="1" t="s">
        <v>198</v>
      </c>
      <c r="B39" s="1" t="s">
        <v>199</v>
      </c>
      <c r="C39" s="1" t="s">
        <v>200</v>
      </c>
      <c r="D39" s="1" t="s">
        <v>201</v>
      </c>
      <c r="E39" s="1">
        <v>18</v>
      </c>
      <c r="F39" s="1">
        <v>175000</v>
      </c>
      <c r="G39" s="1" t="s">
        <v>202</v>
      </c>
      <c r="H39" s="1" t="s">
        <v>91</v>
      </c>
    </row>
    <row r="40" spans="1:8" x14ac:dyDescent="0.25">
      <c r="A40" s="1" t="s">
        <v>203</v>
      </c>
      <c r="B40" s="1" t="s">
        <v>204</v>
      </c>
      <c r="C40" s="1" t="s">
        <v>205</v>
      </c>
      <c r="D40" s="1" t="s">
        <v>206</v>
      </c>
      <c r="E40" s="1">
        <v>10</v>
      </c>
      <c r="F40" s="1">
        <v>180000</v>
      </c>
      <c r="G40" s="1" t="s">
        <v>207</v>
      </c>
      <c r="H40" s="1" t="s">
        <v>208</v>
      </c>
    </row>
    <row r="41" spans="1:8" x14ac:dyDescent="0.25">
      <c r="A41" s="1" t="s">
        <v>209</v>
      </c>
      <c r="B41" s="1" t="s">
        <v>128</v>
      </c>
      <c r="C41" s="1" t="s">
        <v>210</v>
      </c>
      <c r="D41" s="1" t="s">
        <v>157</v>
      </c>
      <c r="E41" s="1">
        <v>10</v>
      </c>
      <c r="F41" s="1">
        <v>65000</v>
      </c>
      <c r="G41" s="1" t="s">
        <v>470</v>
      </c>
      <c r="H41" s="1" t="s">
        <v>211</v>
      </c>
    </row>
    <row r="42" spans="1:8" x14ac:dyDescent="0.25">
      <c r="A42" s="1" t="s">
        <v>70</v>
      </c>
      <c r="B42" s="1" t="s">
        <v>212</v>
      </c>
      <c r="C42" s="1" t="s">
        <v>173</v>
      </c>
      <c r="D42" s="1" t="s">
        <v>20</v>
      </c>
      <c r="E42" s="1">
        <v>3</v>
      </c>
      <c r="F42" s="1">
        <v>150000</v>
      </c>
      <c r="G42" s="1" t="s">
        <v>213</v>
      </c>
      <c r="H42" s="1" t="s">
        <v>214</v>
      </c>
    </row>
    <row r="43" spans="1:8" x14ac:dyDescent="0.25">
      <c r="A43" s="1" t="s">
        <v>215</v>
      </c>
      <c r="B43" s="1" t="s">
        <v>216</v>
      </c>
      <c r="C43" s="1" t="s">
        <v>217</v>
      </c>
      <c r="D43" s="1" t="s">
        <v>20</v>
      </c>
      <c r="E43" s="1">
        <v>8</v>
      </c>
      <c r="F43" s="1">
        <v>180000</v>
      </c>
      <c r="G43" s="1" t="s">
        <v>79</v>
      </c>
      <c r="H43" s="1" t="s">
        <v>75</v>
      </c>
    </row>
    <row r="44" spans="1:8" x14ac:dyDescent="0.25">
      <c r="A44" s="1" t="s">
        <v>218</v>
      </c>
      <c r="B44" s="1" t="s">
        <v>219</v>
      </c>
      <c r="C44" s="1" t="s">
        <v>220</v>
      </c>
      <c r="D44" s="1" t="s">
        <v>141</v>
      </c>
      <c r="E44" s="1">
        <v>3</v>
      </c>
      <c r="F44" s="1">
        <v>250000</v>
      </c>
      <c r="G44" s="1" t="s">
        <v>221</v>
      </c>
      <c r="H44" s="1" t="s">
        <v>222</v>
      </c>
    </row>
    <row r="45" spans="1:8" x14ac:dyDescent="0.25">
      <c r="A45" s="1" t="s">
        <v>223</v>
      </c>
      <c r="B45" s="1" t="s">
        <v>224</v>
      </c>
      <c r="C45" s="1" t="s">
        <v>225</v>
      </c>
      <c r="D45" s="1" t="s">
        <v>226</v>
      </c>
      <c r="E45" s="1">
        <v>18</v>
      </c>
      <c r="F45" s="1">
        <v>85000</v>
      </c>
      <c r="G45" s="1" t="s">
        <v>227</v>
      </c>
      <c r="H45" s="1" t="s">
        <v>180</v>
      </c>
    </row>
    <row r="46" spans="1:8" x14ac:dyDescent="0.25">
      <c r="A46" s="1" t="s">
        <v>228</v>
      </c>
      <c r="B46" s="1" t="s">
        <v>229</v>
      </c>
      <c r="C46" s="1" t="s">
        <v>60</v>
      </c>
      <c r="D46" s="1" t="s">
        <v>37</v>
      </c>
      <c r="E46" s="1">
        <v>9</v>
      </c>
      <c r="F46" s="1">
        <v>150000</v>
      </c>
      <c r="G46" s="1" t="s">
        <v>230</v>
      </c>
      <c r="H46" s="1" t="s">
        <v>231</v>
      </c>
    </row>
    <row r="47" spans="1:8" x14ac:dyDescent="0.25">
      <c r="A47" s="1" t="s">
        <v>232</v>
      </c>
      <c r="B47" s="1" t="s">
        <v>233</v>
      </c>
      <c r="C47" s="1" t="s">
        <v>234</v>
      </c>
      <c r="D47" s="1" t="s">
        <v>235</v>
      </c>
      <c r="E47" s="1">
        <v>18</v>
      </c>
      <c r="F47" s="1">
        <v>150000</v>
      </c>
      <c r="G47" s="1" t="s">
        <v>236</v>
      </c>
      <c r="H47" s="1" t="s">
        <v>237</v>
      </c>
    </row>
    <row r="48" spans="1:8" x14ac:dyDescent="0.25">
      <c r="A48" s="1" t="s">
        <v>238</v>
      </c>
      <c r="B48" s="1" t="s">
        <v>239</v>
      </c>
      <c r="C48" s="1" t="s">
        <v>129</v>
      </c>
      <c r="D48" s="1" t="s">
        <v>67</v>
      </c>
      <c r="E48" s="1">
        <v>11</v>
      </c>
      <c r="F48" s="1">
        <v>150000</v>
      </c>
      <c r="G48" s="1" t="s">
        <v>240</v>
      </c>
      <c r="H48" s="1" t="s">
        <v>241</v>
      </c>
    </row>
    <row r="49" spans="1:8" x14ac:dyDescent="0.25">
      <c r="A49" s="1" t="s">
        <v>242</v>
      </c>
      <c r="B49" s="1" t="s">
        <v>243</v>
      </c>
      <c r="C49" s="1" t="s">
        <v>244</v>
      </c>
      <c r="D49" s="1" t="s">
        <v>165</v>
      </c>
      <c r="E49" s="1">
        <v>4</v>
      </c>
      <c r="F49" s="1">
        <v>350000</v>
      </c>
      <c r="G49" s="1" t="s">
        <v>245</v>
      </c>
      <c r="H49" s="1" t="s">
        <v>246</v>
      </c>
    </row>
    <row r="50" spans="1:8" x14ac:dyDescent="0.25">
      <c r="A50" s="1" t="s">
        <v>247</v>
      </c>
      <c r="B50" s="1" t="s">
        <v>87</v>
      </c>
      <c r="C50" s="1" t="s">
        <v>105</v>
      </c>
      <c r="D50" s="1" t="s">
        <v>248</v>
      </c>
      <c r="E50" s="1">
        <v>19</v>
      </c>
      <c r="F50" s="1">
        <v>150000</v>
      </c>
      <c r="G50" s="1" t="s">
        <v>469</v>
      </c>
      <c r="H50" s="1" t="s">
        <v>249</v>
      </c>
    </row>
    <row r="51" spans="1:8" x14ac:dyDescent="0.25">
      <c r="A51" s="1" t="s">
        <v>250</v>
      </c>
      <c r="B51" s="1" t="s">
        <v>53</v>
      </c>
      <c r="C51" s="1" t="s">
        <v>251</v>
      </c>
      <c r="D51" s="1" t="s">
        <v>252</v>
      </c>
      <c r="E51" s="1">
        <v>7</v>
      </c>
      <c r="F51" s="1">
        <v>85000</v>
      </c>
      <c r="G51" s="1" t="s">
        <v>253</v>
      </c>
      <c r="H51" s="1" t="s">
        <v>254</v>
      </c>
    </row>
    <row r="52" spans="1:8" x14ac:dyDescent="0.25">
      <c r="A52" s="1" t="s">
        <v>255</v>
      </c>
      <c r="B52" s="1" t="s">
        <v>256</v>
      </c>
      <c r="C52" s="1" t="s">
        <v>257</v>
      </c>
      <c r="D52" s="1" t="s">
        <v>258</v>
      </c>
      <c r="E52" s="1">
        <v>13</v>
      </c>
      <c r="F52" s="1">
        <v>57912</v>
      </c>
      <c r="G52" s="1" t="s">
        <v>259</v>
      </c>
      <c r="H52" s="1" t="s">
        <v>260</v>
      </c>
    </row>
    <row r="53" spans="1:8" x14ac:dyDescent="0.25">
      <c r="A53" s="1" t="s">
        <v>261</v>
      </c>
      <c r="B53" s="1" t="s">
        <v>128</v>
      </c>
      <c r="C53" s="1" t="s">
        <v>156</v>
      </c>
      <c r="D53" s="1" t="s">
        <v>262</v>
      </c>
      <c r="E53" s="1">
        <v>18</v>
      </c>
      <c r="F53" s="1">
        <v>650000</v>
      </c>
      <c r="G53" s="1" t="s">
        <v>263</v>
      </c>
      <c r="H53" s="1" t="s">
        <v>264</v>
      </c>
    </row>
    <row r="54" spans="1:8" x14ac:dyDescent="0.25">
      <c r="A54" s="1" t="s">
        <v>265</v>
      </c>
      <c r="B54" s="1" t="s">
        <v>266</v>
      </c>
      <c r="C54" s="1" t="s">
        <v>94</v>
      </c>
      <c r="D54" s="1" t="s">
        <v>191</v>
      </c>
      <c r="E54" s="1">
        <v>5</v>
      </c>
      <c r="F54" s="1">
        <v>65000</v>
      </c>
      <c r="G54" s="1" t="s">
        <v>267</v>
      </c>
      <c r="H54" s="1" t="s">
        <v>268</v>
      </c>
    </row>
    <row r="55" spans="1:8" x14ac:dyDescent="0.25">
      <c r="A55" s="1" t="s">
        <v>269</v>
      </c>
      <c r="B55" s="1" t="s">
        <v>8</v>
      </c>
      <c r="C55" s="1" t="s">
        <v>244</v>
      </c>
      <c r="D55" s="1" t="s">
        <v>43</v>
      </c>
      <c r="E55" s="1">
        <v>13</v>
      </c>
      <c r="F55" s="1">
        <v>350000</v>
      </c>
      <c r="G55" s="1" t="s">
        <v>116</v>
      </c>
      <c r="H55" s="1" t="s">
        <v>270</v>
      </c>
    </row>
    <row r="56" spans="1:8" x14ac:dyDescent="0.25">
      <c r="A56" s="1" t="s">
        <v>271</v>
      </c>
      <c r="B56" s="1" t="s">
        <v>272</v>
      </c>
      <c r="C56" s="1" t="s">
        <v>273</v>
      </c>
      <c r="D56" s="1" t="s">
        <v>165</v>
      </c>
      <c r="E56" s="1">
        <v>19</v>
      </c>
      <c r="F56" s="1">
        <v>350000</v>
      </c>
      <c r="G56" s="1" t="s">
        <v>274</v>
      </c>
      <c r="H56" s="1" t="s">
        <v>275</v>
      </c>
    </row>
    <row r="57" spans="1:8" x14ac:dyDescent="0.25">
      <c r="A57" s="1" t="s">
        <v>276</v>
      </c>
      <c r="B57" s="1" t="s">
        <v>277</v>
      </c>
      <c r="C57" s="1" t="s">
        <v>278</v>
      </c>
      <c r="D57" s="1" t="s">
        <v>32</v>
      </c>
      <c r="E57" s="1">
        <v>9</v>
      </c>
      <c r="F57" s="1">
        <v>180000</v>
      </c>
      <c r="G57" s="1" t="s">
        <v>279</v>
      </c>
      <c r="H57" s="1" t="s">
        <v>280</v>
      </c>
    </row>
    <row r="58" spans="1:8" x14ac:dyDescent="0.25">
      <c r="A58" s="1" t="s">
        <v>281</v>
      </c>
      <c r="B58" s="1" t="s">
        <v>93</v>
      </c>
      <c r="C58" s="1" t="s">
        <v>282</v>
      </c>
      <c r="D58" s="1" t="s">
        <v>283</v>
      </c>
      <c r="E58" s="1">
        <v>10</v>
      </c>
      <c r="F58" s="1">
        <v>150000</v>
      </c>
      <c r="G58" s="1" t="s">
        <v>284</v>
      </c>
      <c r="H58" s="1" t="s">
        <v>285</v>
      </c>
    </row>
    <row r="59" spans="1:8" x14ac:dyDescent="0.25">
      <c r="A59" s="1" t="s">
        <v>286</v>
      </c>
      <c r="B59" s="1" t="s">
        <v>287</v>
      </c>
      <c r="C59" s="1" t="s">
        <v>251</v>
      </c>
      <c r="D59" s="1" t="s">
        <v>288</v>
      </c>
      <c r="E59" s="1">
        <v>10</v>
      </c>
      <c r="F59" s="1">
        <v>85000</v>
      </c>
      <c r="G59" s="1" t="s">
        <v>279</v>
      </c>
      <c r="H59" s="1" t="s">
        <v>289</v>
      </c>
    </row>
    <row r="60" spans="1:8" x14ac:dyDescent="0.25">
      <c r="A60" s="1" t="s">
        <v>290</v>
      </c>
      <c r="B60" s="1" t="s">
        <v>291</v>
      </c>
      <c r="C60" s="1" t="s">
        <v>292</v>
      </c>
      <c r="D60" s="1" t="s">
        <v>293</v>
      </c>
      <c r="E60" s="1">
        <v>5</v>
      </c>
      <c r="F60" s="1">
        <v>25000</v>
      </c>
      <c r="G60" s="1" t="s">
        <v>294</v>
      </c>
      <c r="H60" s="1" t="s">
        <v>295</v>
      </c>
    </row>
    <row r="61" spans="1:8" x14ac:dyDescent="0.25">
      <c r="A61" s="1" t="s">
        <v>108</v>
      </c>
      <c r="B61" s="1" t="s">
        <v>296</v>
      </c>
      <c r="C61" s="1" t="s">
        <v>173</v>
      </c>
      <c r="D61" s="1" t="s">
        <v>283</v>
      </c>
      <c r="E61" s="1">
        <v>1</v>
      </c>
      <c r="F61" s="1">
        <v>150000</v>
      </c>
      <c r="G61" s="1" t="s">
        <v>121</v>
      </c>
      <c r="H61" s="1" t="s">
        <v>17</v>
      </c>
    </row>
    <row r="62" spans="1:8" x14ac:dyDescent="0.25">
      <c r="A62" s="1" t="s">
        <v>297</v>
      </c>
      <c r="B62" s="1" t="s">
        <v>298</v>
      </c>
      <c r="C62" s="1" t="s">
        <v>299</v>
      </c>
      <c r="D62" s="1" t="s">
        <v>300</v>
      </c>
      <c r="E62" s="1">
        <v>20</v>
      </c>
      <c r="F62" s="1">
        <v>150000</v>
      </c>
      <c r="G62" s="1" t="s">
        <v>301</v>
      </c>
      <c r="H62" s="1" t="s">
        <v>302</v>
      </c>
    </row>
    <row r="63" spans="1:8" x14ac:dyDescent="0.25">
      <c r="A63" s="1" t="s">
        <v>185</v>
      </c>
      <c r="B63" s="1" t="s">
        <v>303</v>
      </c>
      <c r="C63" s="1" t="s">
        <v>304</v>
      </c>
      <c r="D63" s="1" t="s">
        <v>305</v>
      </c>
      <c r="E63" s="1">
        <v>11</v>
      </c>
      <c r="F63" s="1">
        <v>350000</v>
      </c>
      <c r="G63" s="1" t="s">
        <v>306</v>
      </c>
      <c r="H63" s="1" t="s">
        <v>307</v>
      </c>
    </row>
    <row r="64" spans="1:8" x14ac:dyDescent="0.25">
      <c r="A64" s="1" t="s">
        <v>308</v>
      </c>
      <c r="B64" s="1" t="s">
        <v>309</v>
      </c>
      <c r="C64" s="1" t="s">
        <v>310</v>
      </c>
      <c r="D64" s="1" t="s">
        <v>311</v>
      </c>
      <c r="E64" s="1">
        <v>14</v>
      </c>
      <c r="F64" s="1">
        <v>250000</v>
      </c>
      <c r="G64" s="1" t="s">
        <v>312</v>
      </c>
      <c r="H64" s="1" t="s">
        <v>313</v>
      </c>
    </row>
    <row r="65" spans="1:8" x14ac:dyDescent="0.25">
      <c r="A65" s="1" t="s">
        <v>314</v>
      </c>
      <c r="B65" s="1" t="s">
        <v>315</v>
      </c>
      <c r="C65" s="1" t="s">
        <v>105</v>
      </c>
      <c r="D65" s="1" t="s">
        <v>20</v>
      </c>
      <c r="E65" s="1">
        <v>3</v>
      </c>
      <c r="F65" s="1">
        <v>150000</v>
      </c>
      <c r="G65" s="1" t="s">
        <v>316</v>
      </c>
      <c r="H65" s="1" t="s">
        <v>12</v>
      </c>
    </row>
    <row r="66" spans="1:8" x14ac:dyDescent="0.25">
      <c r="A66" s="1" t="s">
        <v>317</v>
      </c>
      <c r="B66" s="1" t="s">
        <v>296</v>
      </c>
      <c r="C66" s="1" t="s">
        <v>318</v>
      </c>
      <c r="D66" s="1" t="s">
        <v>226</v>
      </c>
      <c r="E66" s="1">
        <v>6</v>
      </c>
      <c r="F66" s="1">
        <v>85000</v>
      </c>
      <c r="G66" s="1" t="s">
        <v>319</v>
      </c>
      <c r="H66" s="1" t="s">
        <v>320</v>
      </c>
    </row>
    <row r="67" spans="1:8" x14ac:dyDescent="0.25">
      <c r="A67" s="1" t="s">
        <v>321</v>
      </c>
      <c r="B67" s="1" t="s">
        <v>322</v>
      </c>
      <c r="C67" s="1" t="s">
        <v>304</v>
      </c>
      <c r="D67" s="1" t="s">
        <v>15</v>
      </c>
      <c r="E67" s="1">
        <v>15</v>
      </c>
      <c r="F67" s="1">
        <v>350000</v>
      </c>
      <c r="G67" s="1" t="s">
        <v>323</v>
      </c>
      <c r="H67" s="1" t="s">
        <v>324</v>
      </c>
    </row>
    <row r="68" spans="1:8" x14ac:dyDescent="0.25">
      <c r="A68" s="1" t="s">
        <v>325</v>
      </c>
      <c r="B68" s="1" t="s">
        <v>114</v>
      </c>
      <c r="C68" s="1" t="s">
        <v>105</v>
      </c>
      <c r="D68" s="1" t="s">
        <v>326</v>
      </c>
      <c r="E68" s="1">
        <v>16</v>
      </c>
      <c r="F68" s="1">
        <v>150000</v>
      </c>
      <c r="G68" s="1" t="s">
        <v>327</v>
      </c>
      <c r="H68" s="1" t="s">
        <v>313</v>
      </c>
    </row>
    <row r="69" spans="1:8" x14ac:dyDescent="0.25">
      <c r="A69" s="1" t="s">
        <v>328</v>
      </c>
      <c r="B69" s="1" t="s">
        <v>199</v>
      </c>
      <c r="C69" s="1" t="s">
        <v>329</v>
      </c>
      <c r="D69" s="1" t="s">
        <v>330</v>
      </c>
      <c r="E69" s="1">
        <v>8</v>
      </c>
      <c r="F69" s="1">
        <v>175000</v>
      </c>
      <c r="G69" s="1" t="s">
        <v>331</v>
      </c>
      <c r="H69" s="1" t="s">
        <v>91</v>
      </c>
    </row>
    <row r="70" spans="1:8" x14ac:dyDescent="0.25">
      <c r="A70" s="1" t="s">
        <v>332</v>
      </c>
      <c r="B70" s="1" t="s">
        <v>243</v>
      </c>
      <c r="C70" s="1" t="s">
        <v>333</v>
      </c>
      <c r="D70" s="1" t="s">
        <v>334</v>
      </c>
      <c r="E70" s="1">
        <v>2</v>
      </c>
      <c r="F70" s="1">
        <v>85000</v>
      </c>
      <c r="G70" s="1" t="s">
        <v>335</v>
      </c>
      <c r="H70" s="1" t="s">
        <v>336</v>
      </c>
    </row>
    <row r="71" spans="1:8" x14ac:dyDescent="0.25">
      <c r="A71" s="1" t="s">
        <v>337</v>
      </c>
      <c r="B71" s="1" t="s">
        <v>133</v>
      </c>
      <c r="C71" s="1" t="s">
        <v>338</v>
      </c>
      <c r="D71" s="1" t="s">
        <v>339</v>
      </c>
      <c r="E71" s="1">
        <v>13</v>
      </c>
      <c r="F71" s="1">
        <v>250000</v>
      </c>
      <c r="G71" s="1" t="s">
        <v>340</v>
      </c>
      <c r="H71" s="1" t="s">
        <v>341</v>
      </c>
    </row>
    <row r="72" spans="1:8" x14ac:dyDescent="0.25">
      <c r="A72" s="1" t="s">
        <v>342</v>
      </c>
      <c r="B72" s="1" t="s">
        <v>169</v>
      </c>
      <c r="C72" s="1" t="s">
        <v>156</v>
      </c>
      <c r="D72" s="1" t="s">
        <v>49</v>
      </c>
      <c r="E72" s="1">
        <v>11</v>
      </c>
      <c r="F72" s="1">
        <v>65000</v>
      </c>
      <c r="G72" s="1" t="s">
        <v>343</v>
      </c>
      <c r="H72" s="1" t="s">
        <v>344</v>
      </c>
    </row>
    <row r="73" spans="1:8" x14ac:dyDescent="0.25">
      <c r="A73" s="1" t="s">
        <v>168</v>
      </c>
      <c r="B73" s="1" t="s">
        <v>345</v>
      </c>
      <c r="C73" s="1" t="s">
        <v>346</v>
      </c>
      <c r="D73" s="1" t="s">
        <v>347</v>
      </c>
      <c r="E73" s="1">
        <v>17</v>
      </c>
      <c r="F73" s="1">
        <v>3500</v>
      </c>
      <c r="G73" s="1" t="s">
        <v>348</v>
      </c>
      <c r="H73" s="1" t="s">
        <v>349</v>
      </c>
    </row>
    <row r="74" spans="1:8" x14ac:dyDescent="0.25">
      <c r="A74" s="1" t="s">
        <v>350</v>
      </c>
      <c r="B74" s="1" t="s">
        <v>59</v>
      </c>
      <c r="C74" s="1" t="s">
        <v>351</v>
      </c>
      <c r="D74" s="1" t="s">
        <v>352</v>
      </c>
      <c r="E74" s="1">
        <v>18</v>
      </c>
      <c r="F74" s="1">
        <v>65000</v>
      </c>
      <c r="G74" s="1" t="s">
        <v>116</v>
      </c>
      <c r="H74" s="1" t="s">
        <v>112</v>
      </c>
    </row>
    <row r="75" spans="1:8" x14ac:dyDescent="0.25">
      <c r="A75" s="1" t="s">
        <v>353</v>
      </c>
      <c r="B75" s="1" t="s">
        <v>53</v>
      </c>
      <c r="C75" s="1" t="s">
        <v>354</v>
      </c>
      <c r="D75" s="1" t="s">
        <v>283</v>
      </c>
      <c r="E75" s="1">
        <v>13</v>
      </c>
      <c r="F75" s="1">
        <v>180000</v>
      </c>
      <c r="G75" s="1" t="s">
        <v>142</v>
      </c>
      <c r="H75" s="1" t="s">
        <v>355</v>
      </c>
    </row>
    <row r="76" spans="1:8" x14ac:dyDescent="0.25">
      <c r="A76" s="1" t="s">
        <v>356</v>
      </c>
      <c r="B76" s="1" t="s">
        <v>65</v>
      </c>
      <c r="C76" s="1" t="s">
        <v>357</v>
      </c>
      <c r="D76" s="1" t="s">
        <v>201</v>
      </c>
      <c r="E76" s="1">
        <v>10</v>
      </c>
      <c r="F76" s="1">
        <v>175000</v>
      </c>
      <c r="G76" s="1" t="s">
        <v>358</v>
      </c>
      <c r="H76" s="1" t="s">
        <v>359</v>
      </c>
    </row>
    <row r="77" spans="1:8" x14ac:dyDescent="0.25">
      <c r="A77" s="1" t="s">
        <v>360</v>
      </c>
      <c r="B77" s="1" t="s">
        <v>361</v>
      </c>
      <c r="C77" s="1" t="s">
        <v>225</v>
      </c>
      <c r="D77" s="1" t="s">
        <v>362</v>
      </c>
      <c r="E77" s="1">
        <v>5</v>
      </c>
      <c r="F77" s="1">
        <v>85000</v>
      </c>
      <c r="G77" s="1" t="s">
        <v>363</v>
      </c>
      <c r="H77" s="1" t="s">
        <v>364</v>
      </c>
    </row>
    <row r="78" spans="1:8" x14ac:dyDescent="0.25">
      <c r="A78" s="1" t="s">
        <v>365</v>
      </c>
      <c r="B78" s="1" t="s">
        <v>366</v>
      </c>
      <c r="C78" s="1" t="s">
        <v>367</v>
      </c>
      <c r="D78" s="1" t="s">
        <v>368</v>
      </c>
      <c r="E78" s="1">
        <v>17</v>
      </c>
      <c r="F78" s="1">
        <v>350000</v>
      </c>
      <c r="G78" s="1" t="s">
        <v>196</v>
      </c>
      <c r="H78" s="1" t="s">
        <v>369</v>
      </c>
    </row>
    <row r="79" spans="1:8" x14ac:dyDescent="0.25">
      <c r="A79" s="1" t="s">
        <v>370</v>
      </c>
      <c r="B79" s="1" t="s">
        <v>371</v>
      </c>
      <c r="C79" s="1" t="s">
        <v>372</v>
      </c>
      <c r="D79" s="1" t="s">
        <v>165</v>
      </c>
      <c r="E79" s="1">
        <v>13</v>
      </c>
      <c r="F79" s="1">
        <v>350000</v>
      </c>
      <c r="G79" s="1" t="s">
        <v>373</v>
      </c>
      <c r="H79" s="1" t="s">
        <v>374</v>
      </c>
    </row>
    <row r="80" spans="1:8" x14ac:dyDescent="0.25">
      <c r="A80" s="1" t="s">
        <v>375</v>
      </c>
      <c r="B80" s="1" t="s">
        <v>71</v>
      </c>
      <c r="C80" s="1" t="s">
        <v>376</v>
      </c>
      <c r="D80" s="1" t="s">
        <v>377</v>
      </c>
      <c r="E80" s="1">
        <v>8</v>
      </c>
      <c r="F80" s="1">
        <v>350000</v>
      </c>
      <c r="G80" s="1" t="s">
        <v>378</v>
      </c>
      <c r="H80" s="1" t="s">
        <v>131</v>
      </c>
    </row>
    <row r="81" spans="1:11" x14ac:dyDescent="0.25">
      <c r="A81" s="1" t="s">
        <v>379</v>
      </c>
      <c r="B81" s="1" t="s">
        <v>380</v>
      </c>
      <c r="C81" s="1" t="s">
        <v>381</v>
      </c>
      <c r="D81" s="1" t="s">
        <v>382</v>
      </c>
      <c r="E81" s="1">
        <v>13</v>
      </c>
      <c r="F81" s="1">
        <v>85000</v>
      </c>
      <c r="G81" s="1" t="s">
        <v>383</v>
      </c>
      <c r="H81" s="1" t="s">
        <v>131</v>
      </c>
    </row>
    <row r="82" spans="1:11" x14ac:dyDescent="0.25">
      <c r="A82" s="1" t="s">
        <v>384</v>
      </c>
      <c r="B82" s="1" t="s">
        <v>385</v>
      </c>
      <c r="C82" s="1" t="s">
        <v>386</v>
      </c>
      <c r="D82" s="1" t="s">
        <v>387</v>
      </c>
      <c r="E82" s="1">
        <v>17</v>
      </c>
      <c r="F82" s="1">
        <v>150000</v>
      </c>
      <c r="G82" s="1" t="s">
        <v>388</v>
      </c>
      <c r="H82" s="1" t="s">
        <v>389</v>
      </c>
    </row>
    <row r="83" spans="1:11" x14ac:dyDescent="0.25">
      <c r="A83" s="1" t="s">
        <v>390</v>
      </c>
      <c r="B83" s="1" t="s">
        <v>391</v>
      </c>
      <c r="C83" s="1" t="s">
        <v>392</v>
      </c>
      <c r="D83" s="1" t="s">
        <v>393</v>
      </c>
      <c r="E83" s="1">
        <v>19</v>
      </c>
      <c r="F83" s="1">
        <v>65000</v>
      </c>
      <c r="G83" s="1" t="s">
        <v>394</v>
      </c>
      <c r="H83" s="1" t="s">
        <v>395</v>
      </c>
      <c r="K83" t="s">
        <v>472</v>
      </c>
    </row>
    <row r="84" spans="1:11" x14ac:dyDescent="0.25">
      <c r="A84" s="1" t="s">
        <v>396</v>
      </c>
      <c r="B84" s="1" t="s">
        <v>177</v>
      </c>
      <c r="C84" s="1" t="s">
        <v>60</v>
      </c>
      <c r="D84" s="1" t="s">
        <v>37</v>
      </c>
      <c r="E84" s="1">
        <v>1</v>
      </c>
      <c r="F84" s="1">
        <v>150000</v>
      </c>
      <c r="G84" s="1" t="s">
        <v>142</v>
      </c>
      <c r="H84" s="1" t="s">
        <v>397</v>
      </c>
    </row>
    <row r="85" spans="1:11" x14ac:dyDescent="0.25">
      <c r="A85" s="1" t="s">
        <v>398</v>
      </c>
      <c r="B85" s="1" t="s">
        <v>296</v>
      </c>
      <c r="C85" s="1" t="s">
        <v>292</v>
      </c>
      <c r="D85" s="1" t="s">
        <v>399</v>
      </c>
      <c r="E85" s="1">
        <v>13</v>
      </c>
      <c r="F85" s="1">
        <v>250000</v>
      </c>
      <c r="G85" s="1" t="s">
        <v>400</v>
      </c>
      <c r="H85" s="1" t="s">
        <v>285</v>
      </c>
    </row>
    <row r="86" spans="1:11" x14ac:dyDescent="0.25">
      <c r="A86" s="1" t="s">
        <v>401</v>
      </c>
      <c r="B86" s="1" t="s">
        <v>224</v>
      </c>
      <c r="C86" s="1" t="s">
        <v>402</v>
      </c>
      <c r="D86" s="1" t="s">
        <v>403</v>
      </c>
      <c r="E86" s="1">
        <v>18</v>
      </c>
      <c r="F86" s="1">
        <v>65000</v>
      </c>
      <c r="G86" s="1" t="s">
        <v>306</v>
      </c>
      <c r="H86" s="1" t="s">
        <v>214</v>
      </c>
    </row>
    <row r="87" spans="1:11" x14ac:dyDescent="0.25">
      <c r="A87" s="1" t="s">
        <v>404</v>
      </c>
      <c r="B87" s="1" t="s">
        <v>405</v>
      </c>
      <c r="C87" s="1" t="s">
        <v>406</v>
      </c>
      <c r="D87" s="1" t="s">
        <v>407</v>
      </c>
      <c r="E87" s="1">
        <v>20</v>
      </c>
      <c r="F87" s="1">
        <v>250000</v>
      </c>
      <c r="G87" s="1" t="s">
        <v>408</v>
      </c>
      <c r="H87" s="1" t="s">
        <v>409</v>
      </c>
    </row>
    <row r="88" spans="1:11" x14ac:dyDescent="0.25">
      <c r="A88" s="1" t="s">
        <v>410</v>
      </c>
      <c r="B88" s="1" t="s">
        <v>99</v>
      </c>
      <c r="C88" s="1" t="s">
        <v>278</v>
      </c>
      <c r="D88" s="1" t="s">
        <v>20</v>
      </c>
      <c r="E88" s="1">
        <v>4</v>
      </c>
      <c r="F88" s="1">
        <v>180000</v>
      </c>
      <c r="G88" s="1" t="s">
        <v>411</v>
      </c>
      <c r="H88" s="1" t="s">
        <v>39</v>
      </c>
    </row>
    <row r="89" spans="1:11" x14ac:dyDescent="0.25">
      <c r="A89" s="1" t="s">
        <v>412</v>
      </c>
      <c r="B89" s="1" t="s">
        <v>391</v>
      </c>
      <c r="C89" s="1" t="s">
        <v>60</v>
      </c>
      <c r="D89" s="1" t="s">
        <v>37</v>
      </c>
      <c r="E89" s="1">
        <v>5</v>
      </c>
      <c r="F89" s="1">
        <v>150000</v>
      </c>
      <c r="G89" s="1" t="s">
        <v>348</v>
      </c>
      <c r="H89" s="1" t="s">
        <v>413</v>
      </c>
    </row>
    <row r="90" spans="1:11" x14ac:dyDescent="0.25">
      <c r="A90" s="1" t="s">
        <v>414</v>
      </c>
      <c r="B90" s="1" t="s">
        <v>59</v>
      </c>
      <c r="C90" s="1" t="s">
        <v>415</v>
      </c>
      <c r="D90" s="1" t="s">
        <v>399</v>
      </c>
      <c r="E90" s="1">
        <v>11</v>
      </c>
      <c r="F90" s="1">
        <v>2500000</v>
      </c>
      <c r="G90" s="1" t="s">
        <v>21</v>
      </c>
      <c r="H90" s="1" t="s">
        <v>416</v>
      </c>
    </row>
    <row r="91" spans="1:11" x14ac:dyDescent="0.25">
      <c r="A91" s="1" t="s">
        <v>417</v>
      </c>
      <c r="B91" s="1" t="s">
        <v>99</v>
      </c>
      <c r="C91" s="1" t="s">
        <v>418</v>
      </c>
      <c r="D91" s="1" t="s">
        <v>419</v>
      </c>
      <c r="E91" s="1">
        <v>20</v>
      </c>
      <c r="F91" s="1">
        <v>250000</v>
      </c>
      <c r="G91" s="1" t="s">
        <v>420</v>
      </c>
      <c r="H91" s="1" t="s">
        <v>421</v>
      </c>
    </row>
    <row r="92" spans="1:11" x14ac:dyDescent="0.25">
      <c r="A92" s="1" t="s">
        <v>422</v>
      </c>
      <c r="B92" s="1" t="s">
        <v>423</v>
      </c>
      <c r="C92" s="1" t="s">
        <v>424</v>
      </c>
      <c r="D92" s="1" t="s">
        <v>425</v>
      </c>
      <c r="E92" s="1">
        <v>7</v>
      </c>
      <c r="F92" s="1">
        <v>89233</v>
      </c>
      <c r="G92" s="1" t="s">
        <v>426</v>
      </c>
      <c r="H92" s="1" t="s">
        <v>427</v>
      </c>
    </row>
    <row r="93" spans="1:11" x14ac:dyDescent="0.25">
      <c r="A93" s="1" t="s">
        <v>428</v>
      </c>
      <c r="B93" s="1" t="s">
        <v>429</v>
      </c>
      <c r="C93" s="1" t="s">
        <v>430</v>
      </c>
      <c r="D93" s="1" t="s">
        <v>431</v>
      </c>
      <c r="E93" s="1">
        <v>5</v>
      </c>
      <c r="F93" s="1">
        <v>250000</v>
      </c>
      <c r="G93" s="1" t="s">
        <v>432</v>
      </c>
      <c r="H93" s="1" t="s">
        <v>433</v>
      </c>
    </row>
    <row r="94" spans="1:11" x14ac:dyDescent="0.25">
      <c r="A94" s="1" t="s">
        <v>434</v>
      </c>
      <c r="B94" s="1" t="s">
        <v>435</v>
      </c>
      <c r="C94" s="1" t="s">
        <v>436</v>
      </c>
      <c r="D94" s="1" t="s">
        <v>201</v>
      </c>
      <c r="E94" s="1">
        <v>19</v>
      </c>
      <c r="F94" s="1">
        <v>175000</v>
      </c>
      <c r="G94" s="1" t="s">
        <v>437</v>
      </c>
      <c r="H94" s="1" t="s">
        <v>438</v>
      </c>
    </row>
    <row r="95" spans="1:11" x14ac:dyDescent="0.25">
      <c r="A95" s="1" t="s">
        <v>439</v>
      </c>
      <c r="B95" s="1" t="s">
        <v>296</v>
      </c>
      <c r="C95" s="1" t="s">
        <v>161</v>
      </c>
      <c r="D95" s="1" t="s">
        <v>165</v>
      </c>
      <c r="E95" s="1">
        <v>14</v>
      </c>
      <c r="F95" s="1">
        <v>350000</v>
      </c>
      <c r="G95" s="1" t="s">
        <v>440</v>
      </c>
      <c r="H95" s="1" t="s">
        <v>441</v>
      </c>
    </row>
    <row r="96" spans="1:11" x14ac:dyDescent="0.25">
      <c r="A96" s="1" t="s">
        <v>442</v>
      </c>
      <c r="B96" s="1" t="s">
        <v>296</v>
      </c>
      <c r="C96" s="1" t="s">
        <v>443</v>
      </c>
      <c r="D96" s="1" t="s">
        <v>444</v>
      </c>
      <c r="E96" s="1">
        <v>20</v>
      </c>
      <c r="F96" s="1">
        <v>175000</v>
      </c>
      <c r="G96" s="1" t="s">
        <v>445</v>
      </c>
      <c r="H96" s="1" t="s">
        <v>446</v>
      </c>
    </row>
    <row r="97" spans="1:8" x14ac:dyDescent="0.25">
      <c r="A97" s="1" t="s">
        <v>447</v>
      </c>
      <c r="B97" s="1" t="s">
        <v>448</v>
      </c>
      <c r="C97" s="1" t="s">
        <v>381</v>
      </c>
      <c r="D97" s="1" t="s">
        <v>449</v>
      </c>
      <c r="E97" s="1">
        <v>18</v>
      </c>
      <c r="F97" s="1">
        <v>85000</v>
      </c>
      <c r="G97" s="1" t="s">
        <v>450</v>
      </c>
      <c r="H97" s="1" t="s">
        <v>451</v>
      </c>
    </row>
    <row r="98" spans="1:8" x14ac:dyDescent="0.25">
      <c r="A98" s="1" t="s">
        <v>452</v>
      </c>
      <c r="B98" s="1" t="s">
        <v>453</v>
      </c>
      <c r="C98" s="1" t="s">
        <v>454</v>
      </c>
      <c r="D98" s="1" t="s">
        <v>455</v>
      </c>
      <c r="E98" s="1">
        <v>17</v>
      </c>
      <c r="F98" s="1">
        <v>175000</v>
      </c>
      <c r="G98" s="1" t="s">
        <v>456</v>
      </c>
      <c r="H98" s="1" t="s">
        <v>457</v>
      </c>
    </row>
    <row r="99" spans="1:8" x14ac:dyDescent="0.25">
      <c r="A99" s="1" t="s">
        <v>458</v>
      </c>
      <c r="B99" s="1" t="s">
        <v>8</v>
      </c>
      <c r="C99" s="1" t="s">
        <v>220</v>
      </c>
      <c r="D99" s="1" t="s">
        <v>399</v>
      </c>
      <c r="E99" s="1">
        <v>20</v>
      </c>
      <c r="F99" s="1">
        <v>250000</v>
      </c>
      <c r="G99" s="1" t="s">
        <v>319</v>
      </c>
      <c r="H99" s="1" t="s">
        <v>17</v>
      </c>
    </row>
    <row r="100" spans="1:8" x14ac:dyDescent="0.25">
      <c r="A100" s="1" t="s">
        <v>459</v>
      </c>
      <c r="B100" s="1" t="s">
        <v>216</v>
      </c>
      <c r="C100" s="1" t="s">
        <v>304</v>
      </c>
      <c r="D100" s="1" t="s">
        <v>165</v>
      </c>
      <c r="E100" s="1">
        <v>20</v>
      </c>
      <c r="F100" s="1">
        <v>350000</v>
      </c>
      <c r="G100" s="1" t="s">
        <v>460</v>
      </c>
      <c r="H100" s="1" t="s">
        <v>461</v>
      </c>
    </row>
    <row r="101" spans="1:8" x14ac:dyDescent="0.25">
      <c r="A101" s="1" t="s">
        <v>462</v>
      </c>
      <c r="B101" s="1" t="s">
        <v>463</v>
      </c>
      <c r="C101" s="1" t="s">
        <v>464</v>
      </c>
      <c r="D101" s="1" t="s">
        <v>465</v>
      </c>
      <c r="E101" s="1">
        <v>18</v>
      </c>
      <c r="F101" s="1">
        <v>150000</v>
      </c>
      <c r="G101" s="1" t="s">
        <v>466</v>
      </c>
      <c r="H101" s="1" t="s">
        <v>467</v>
      </c>
    </row>
    <row r="102" spans="1:8" x14ac:dyDescent="0.25">
      <c r="E102">
        <f>SUM(E2:E101)</f>
        <v>1141</v>
      </c>
      <c r="F102">
        <f>SUM(F2:F101)</f>
        <v>24823847</v>
      </c>
    </row>
  </sheetData>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O21"/>
  <sheetViews>
    <sheetView workbookViewId="0">
      <selection activeCell="E20" sqref="E20"/>
    </sheetView>
  </sheetViews>
  <sheetFormatPr defaultColWidth="0" defaultRowHeight="15" zeroHeight="1" x14ac:dyDescent="0.25"/>
  <cols>
    <col min="1" max="1" width="3.42578125" style="4" customWidth="1"/>
    <col min="2" max="15" width="8.7109375" style="4" customWidth="1"/>
    <col min="16" max="16384" width="8.7109375" style="4" hidden="1"/>
  </cols>
  <sheetData>
    <row r="1" spans="2:14" x14ac:dyDescent="0.25"/>
    <row r="2" spans="2:14" ht="34.5" thickBot="1" x14ac:dyDescent="0.55000000000000004">
      <c r="B2" s="5" t="s">
        <v>468</v>
      </c>
      <c r="C2" s="6"/>
      <c r="D2" s="6"/>
      <c r="E2" s="6"/>
      <c r="F2" s="6"/>
      <c r="G2" s="6"/>
      <c r="H2" s="6"/>
      <c r="I2" s="6"/>
      <c r="J2" s="6"/>
      <c r="K2" s="6"/>
      <c r="L2" s="6"/>
      <c r="M2" s="6"/>
      <c r="N2" s="6"/>
    </row>
    <row r="3" spans="2:14" x14ac:dyDescent="0.25"/>
    <row r="4" spans="2:14" x14ac:dyDescent="0.25"/>
    <row r="5" spans="2:14" x14ac:dyDescent="0.25"/>
    <row r="6" spans="2:14" x14ac:dyDescent="0.25"/>
    <row r="7" spans="2:14" x14ac:dyDescent="0.25"/>
    <row r="8" spans="2:14" x14ac:dyDescent="0.25"/>
    <row r="9" spans="2:14" x14ac:dyDescent="0.25"/>
    <row r="10" spans="2:14" x14ac:dyDescent="0.25"/>
    <row r="11" spans="2:14" x14ac:dyDescent="0.25"/>
    <row r="12" spans="2:14" x14ac:dyDescent="0.25"/>
    <row r="13" spans="2:14" x14ac:dyDescent="0.25"/>
    <row r="14" spans="2:14" x14ac:dyDescent="0.25"/>
    <row r="15" spans="2:14" x14ac:dyDescent="0.25"/>
    <row r="17" hidden="1" x14ac:dyDescent="0.25"/>
    <row r="18" hidden="1" x14ac:dyDescent="0.25"/>
    <row r="19" hidden="1" x14ac:dyDescent="0.25"/>
    <row r="20" hidden="1" x14ac:dyDescent="0.25"/>
    <row r="21" hidden="1" x14ac:dyDescent="0.25"/>
  </sheetData>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Dashboard</vt:lpstr>
      <vt:lpstr>Sheet1</vt:lpstr>
      <vt:lpstr>Pivot table</vt:lpstr>
      <vt:lpstr>Cleaned data</vt:lpstr>
      <vt:lpstr>Raw Data</vt:lpstr>
      <vt:lpstr>Cover</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Muhsin H.</dc:creator>
  <cp:keywords>Personal</cp:keywords>
  <cp:lastModifiedBy>USER</cp:lastModifiedBy>
  <dcterms:created xsi:type="dcterms:W3CDTF">2025-10-20T20:05:08Z</dcterms:created>
  <dcterms:modified xsi:type="dcterms:W3CDTF">2026-02-19T15:36:26Z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defa4170-0d19-0005-0004-bc88714345d2_Enabled">
    <vt:lpwstr>true</vt:lpwstr>
  </property>
  <property fmtid="{D5CDD505-2E9C-101B-9397-08002B2CF9AE}" pid="3" name="MSIP_Label_defa4170-0d19-0005-0004-bc88714345d2_SetDate">
    <vt:lpwstr>2025-10-28T17:00:44Z</vt:lpwstr>
  </property>
  <property fmtid="{D5CDD505-2E9C-101B-9397-08002B2CF9AE}" pid="4" name="MSIP_Label_defa4170-0d19-0005-0004-bc88714345d2_Method">
    <vt:lpwstr>Standard</vt:lpwstr>
  </property>
  <property fmtid="{D5CDD505-2E9C-101B-9397-08002B2CF9AE}" pid="5" name="MSIP_Label_defa4170-0d19-0005-0004-bc88714345d2_Name">
    <vt:lpwstr>defa4170-0d19-0005-0004-bc88714345d2</vt:lpwstr>
  </property>
  <property fmtid="{D5CDD505-2E9C-101B-9397-08002B2CF9AE}" pid="6" name="MSIP_Label_defa4170-0d19-0005-0004-bc88714345d2_SiteId">
    <vt:lpwstr>e850a7d0-6f71-4a59-8f31-fc421635ba4f</vt:lpwstr>
  </property>
  <property fmtid="{D5CDD505-2E9C-101B-9397-08002B2CF9AE}" pid="7" name="MSIP_Label_defa4170-0d19-0005-0004-bc88714345d2_ActionId">
    <vt:lpwstr>a905a4e3-0ba4-43da-99e7-ede8b93906d5</vt:lpwstr>
  </property>
  <property fmtid="{D5CDD505-2E9C-101B-9397-08002B2CF9AE}" pid="8" name="MSIP_Label_defa4170-0d19-0005-0004-bc88714345d2_ContentBits">
    <vt:lpwstr>0</vt:lpwstr>
  </property>
  <property fmtid="{D5CDD505-2E9C-101B-9397-08002B2CF9AE}" pid="9" name="MSIP_Label_defa4170-0d19-0005-0004-bc88714345d2_Tag">
    <vt:lpwstr>10, 3, 0, 1</vt:lpwstr>
  </property>
</Properties>
</file>